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EF893B6-5174-4EC4-92C6-1C39D93790D2}" xr6:coauthVersionLast="45" xr6:coauthVersionMax="45" xr10:uidLastSave="{00000000-0000-0000-0000-000000000000}"/>
  <bookViews>
    <workbookView xWindow="-108" yWindow="-108" windowWidth="23256" windowHeight="13896" tabRatio="500" activeTab="2" xr2:uid="{00000000-000D-0000-FFFF-FFFF00000000}"/>
  </bookViews>
  <sheets>
    <sheet name="Title_Abstract_Screening" sheetId="1" r:id="rId1"/>
    <sheet name="Full_Text_Screening" sheetId="2" r:id="rId2"/>
    <sheet name="Cohen_Kappa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3" l="1"/>
  <c r="B19" i="3"/>
  <c r="D19" i="3" s="1"/>
  <c r="C18" i="3"/>
  <c r="C20" i="3" s="1"/>
  <c r="B18" i="3"/>
  <c r="C7" i="3"/>
  <c r="B7" i="3"/>
  <c r="D7" i="3" s="1"/>
  <c r="C6" i="3"/>
  <c r="C8" i="3" s="1"/>
  <c r="B6" i="3"/>
  <c r="B8" i="3" l="1"/>
  <c r="B20" i="3"/>
  <c r="D18" i="3"/>
  <c r="D6" i="3"/>
  <c r="D8" i="3" l="1"/>
  <c r="B12" i="3"/>
  <c r="D20" i="3"/>
  <c r="B22" i="3" l="1"/>
  <c r="B23" i="3"/>
  <c r="B24" i="3"/>
  <c r="B10" i="3"/>
  <c r="B11" i="3"/>
  <c r="B13" i="3" l="1"/>
  <c r="B25" i="3"/>
</calcChain>
</file>

<file path=xl/sharedStrings.xml><?xml version="1.0" encoding="utf-8"?>
<sst xmlns="http://schemas.openxmlformats.org/spreadsheetml/2006/main" count="2594" uniqueCount="708">
  <si>
    <t>Study ID</t>
  </si>
  <si>
    <t>Registar/Database</t>
  </si>
  <si>
    <t>Keywords</t>
  </si>
  <si>
    <t>Title</t>
  </si>
  <si>
    <t>Authors</t>
  </si>
  <si>
    <t>Year</t>
  </si>
  <si>
    <t>Reviewer 1 Decision</t>
  </si>
  <si>
    <t>Reviewer 2 Decision</t>
  </si>
  <si>
    <t>Conflict</t>
  </si>
  <si>
    <t>Final Decision</t>
  </si>
  <si>
    <t>S01</t>
  </si>
  <si>
    <t>arXiv</t>
  </si>
  <si>
    <t>low-resource languages survey ; NLP survey</t>
  </si>
  <si>
    <t>A Breadth-First Catalog of Text Processing, Speech Processing and Multimodal Research in South Asian Languages</t>
  </si>
  <si>
    <t>Gupta, Pranav</t>
  </si>
  <si>
    <t>Include</t>
  </si>
  <si>
    <t>No</t>
  </si>
  <si>
    <t>S02</t>
  </si>
  <si>
    <t>ACM Digital Library</t>
  </si>
  <si>
    <t>knowledge graph construction; knowledge extraction; survey</t>
  </si>
  <si>
    <t>A Comprehensive Survey on Automatic Knowledge Graph Construction</t>
  </si>
  <si>
    <t>Zhong, Lingfeng; Wu, Jia; Li, Qian; Peng, Hao; Wu, Xindong</t>
  </si>
  <si>
    <t>S03</t>
  </si>
  <si>
    <t>ACLWeb</t>
  </si>
  <si>
    <t>relation classification; multilingual; low-resource languages; distant supervision</t>
  </si>
  <si>
    <t>A Data Bootstrapping Recipe for Low-Resource Multilingual Relation Classification</t>
  </si>
  <si>
    <t>Nag, Arijit; Samanta, Bidisha; Mukherjee, Animesh; Ganguly, Niloy; Chakrabarti, Soumen</t>
  </si>
  <si>
    <t>S04</t>
  </si>
  <si>
    <t>knowledge graphs; natural language processing; knowledge extraction; survey</t>
  </si>
  <si>
    <t>A Decade of Knowledge Graphs in Natural Language Processing: A Survey</t>
  </si>
  <si>
    <t>Schneider, Phillip; Schopf, Tim; Vladika, Juraj; Galkin, Mikhail; Simperl, Elena; Matthes, Florian</t>
  </si>
  <si>
    <t>S05</t>
  </si>
  <si>
    <t>anaphora resolution;low-resources; coreference;</t>
  </si>
  <si>
    <t>A Detailed Study on Anaphora Resolution System for Asian Languages</t>
  </si>
  <si>
    <t>Prajapati, Priyanka; Goyal, Vishal; Kaur, Kawaljit</t>
  </si>
  <si>
    <t>S06</t>
  </si>
  <si>
    <t>entity extraction; relation extraction</t>
  </si>
  <si>
    <t>A Frustratingly Easy Approach for Entity and Relation Extraction</t>
  </si>
  <si>
    <t>Zhong, Zexuan; Chen, Danqi</t>
  </si>
  <si>
    <t>S07</t>
  </si>
  <si>
    <t xml:space="preserve"> knowledge graph construction; entity extraction; relation extraction</t>
  </si>
  <si>
    <t>A High Precision Pipeline for Financial Knowledge Graph Construction</t>
  </si>
  <si>
    <t>Elhammadi, Sarah; V.S. Lakshmanan, Laks; Ng, Raymond; Simpson, Michael; Huai, Baoxing; Wang, Zhefeng; Wang, Lanjun</t>
  </si>
  <si>
    <t>S08</t>
  </si>
  <si>
    <t>IEEE Xplore</t>
  </si>
  <si>
    <t>anaphora resolution; Nepali; machine learning; low-resource languages</t>
  </si>
  <si>
    <t>A Machine Learning Approach to Anaphora Resolution in Nepali Language</t>
  </si>
  <si>
    <t>Senapati, Apurbalal; Poudyal, Arun; Adhikary, Prithwiraj; Kaushar, Sahana; Mahajan, Anmol; Nath Saha, Baidya</t>
  </si>
  <si>
    <t>S09</t>
  </si>
  <si>
    <t>triple extraction; table filling; joint entity and relation extraction</t>
  </si>
  <si>
    <t>A Novel Global Feature-Oriented Relational Triple Extraction Model based on Table Filling</t>
  </si>
  <si>
    <t>Ren, Feiliang; Zhang, Longhui; Yin, Shujuan; Zhao, Xiaofeng; Liu, Shilei; Li, Bochao; Liu, Yaduo</t>
  </si>
  <si>
    <t>Exclude</t>
  </si>
  <si>
    <t>Yes</t>
  </si>
  <si>
    <t>S10</t>
  </si>
  <si>
    <t>knowledge graph</t>
  </si>
  <si>
    <t>A review on the reliability of knowledge graph: from a knowledge representation learning perspective</t>
  </si>
  <si>
    <t>Yang, Yunxiao; Chen, Jianting; Xiang, Yang</t>
  </si>
  <si>
    <t>S100</t>
  </si>
  <si>
    <t>open information extraction; multilingual</t>
  </si>
  <si>
    <t>Multiˆ2OIE: Multilingual Open Information Extraction Based on Multi-Head Attention with BERT</t>
  </si>
  <si>
    <t>Ro, Youngbin; Lee, Yukyung; Kang, Pilsung</t>
  </si>
  <si>
    <t>S101</t>
  </si>
  <si>
    <t>entity linking; multilingual</t>
  </si>
  <si>
    <t>Multilingual Autoregressive Entity Linking</t>
  </si>
  <si>
    <t>De Cao, Nicola; Wu, Ledell; Popat, Kashyap; Artetxe, Mikel; Goyal, Naman; Plekhanov, Mikhail; Zettlemoyer, Luke; Cancedda, Nicola; Riedel, Sebastian; Petroni, Fabio</t>
  </si>
  <si>
    <t>S102</t>
  </si>
  <si>
    <t>GoogleScholar</t>
  </si>
  <si>
    <t>multilingual knowledge graphs; low-resource languages</t>
  </si>
  <si>
    <t>Multilingual Knowledge Graphs and Low-Resource Languages: A Review</t>
  </si>
  <si>
    <t>Kaffee, Lucie-Aimée; Biswas, Russa; Keet, C. Maria; Vakaj, Edlira Kalemi; de Melo, Gerard</t>
  </si>
  <si>
    <t>S103</t>
  </si>
  <si>
    <t>open relation extraction</t>
  </si>
  <si>
    <t>Multilingual Open Relation Extraction Using Cross-lingual Projection</t>
  </si>
  <si>
    <t>Faruqui, Manaal; Kumar, Shankar</t>
  </si>
  <si>
    <t>S104</t>
  </si>
  <si>
    <t>relation extraction; universal schema</t>
  </si>
  <si>
    <t>Multilingual Relation Extraction using Compositional Universal Schema</t>
  </si>
  <si>
    <t>Verga, Patrick; Belanger, David; Strubell, Emma; Roth, Benjamin; McCallum, Andrew</t>
  </si>
  <si>
    <t>S105</t>
  </si>
  <si>
    <t>relation extraction; survey</t>
  </si>
  <si>
    <t>Multilingual Relation Extraction: A Survey</t>
  </si>
  <si>
    <t>Ali, Manzoor; Speck, René; Zahera, Hamada M.; Saleem, Muhammad; Moussallem, Diego; Ngonga Ngomo, Axel-Cyrille</t>
  </si>
  <si>
    <t>S106</t>
  </si>
  <si>
    <t>knowledge graph construction; entity recognition; relation extraction</t>
  </si>
  <si>
    <t>Multi-Task Identification of Entities, Relations, and Coreference for Scientific Knowledge Graph Construction</t>
  </si>
  <si>
    <t>Luan, Yi; He, Luheng; Ostendorf, Mari; Hajishirzi, Hannaneh</t>
  </si>
  <si>
    <t>S107</t>
  </si>
  <si>
    <t>arXiv.org</t>
  </si>
  <si>
    <t>ctation chaining</t>
  </si>
  <si>
    <t>MuRIL: Multilingual Representations for Indian Languages</t>
  </si>
  <si>
    <t>Khanuja, Simran; Bansal, Diksha; Mehtani, Sarvesh; Khosla, Savya; Dey, Atreyee; Gopalan, Balaji; Margam, Dilip Kumar; Aggarwal, Pooja; Nagipogu, Rajiv Teja; Dave, Shachi; Gupta, Shruti; Gali, Subhash Chandra Bose; Subramanian, Vish; Talukdar, Partha</t>
  </si>
  <si>
    <t>S108</t>
  </si>
  <si>
    <t>named entity recognition; relation extraction; survey; deep learning</t>
  </si>
  <si>
    <t>Named Entity Recognition and Relation Extraction: State-of-the-Art</t>
  </si>
  <si>
    <t>Nasar, Zara; Jaffry, Syed Waqar; Malik, Muhammad Kamran</t>
  </si>
  <si>
    <t>S109</t>
  </si>
  <si>
    <t>named entity recognition; Nepali</t>
  </si>
  <si>
    <t>Named Entity Recognition for Nepali Language</t>
  </si>
  <si>
    <t>Singh, Oyesh Mann; Padia, Ankur; Joshi, Anupam</t>
  </si>
  <si>
    <t>S11</t>
  </si>
  <si>
    <t>citation chaining</t>
  </si>
  <si>
    <t>A Rigorous Evaluation of LLM Data Generation Strategies for Low-Resource Languages</t>
  </si>
  <si>
    <t>Anikina, Tatiana; Cegin, Jan; Simko, Jakub; Ostermann, Simon</t>
  </si>
  <si>
    <t>S110</t>
  </si>
  <si>
    <t>named entity recognition; Nepali; hybrid approach</t>
  </si>
  <si>
    <t>Named Entity Recognition for Nepali language: A Semi Hybrid Approach</t>
  </si>
  <si>
    <t>Dey, Arindam; Paul, Abhijit; Purkayastha, B. S.</t>
  </si>
  <si>
    <t>S111</t>
  </si>
  <si>
    <t>named entity recognition; Nepali; support vector machines</t>
  </si>
  <si>
    <t>Named Entity Recognition for Nepali Text Using Support Vector Machines</t>
  </si>
  <si>
    <t>Bam, Surya Bahadur; Shahi, Tej Bahadur</t>
  </si>
  <si>
    <t>S112</t>
  </si>
  <si>
    <t>named entity recognition; data set; Nepali; low-resource</t>
  </si>
  <si>
    <t>Named Entity Recognition for Nepali: Data Sets and Algorithms</t>
  </si>
  <si>
    <t>Niraula, Nobal; Chapagain, Jeevan</t>
  </si>
  <si>
    <t>S113</t>
  </si>
  <si>
    <t>named entity recognition; Nepali; BERT</t>
  </si>
  <si>
    <t>Named Entity Recognition for Nepali Using BERT Based Models</t>
  </si>
  <si>
    <t>Pande, Bishal Debb; Shakya, Aman; Panday, Sanjeeb Prasad; Joshi, Basanta</t>
  </si>
  <si>
    <t>S114</t>
  </si>
  <si>
    <t>sentiment analysis; named entities; Nepali; news media</t>
  </si>
  <si>
    <t>Named-Entity Based Sentiment Analysis of Nepali News Media Texts</t>
  </si>
  <si>
    <t>Bade Shrestha, Birat; Bal, Bal Krishna</t>
  </si>
  <si>
    <t>S115</t>
  </si>
  <si>
    <t>Nepali NLP; review; low-resource languages; language resources</t>
  </si>
  <si>
    <t>Natural language processing for Nepali text: a review</t>
  </si>
  <si>
    <t>Shahi, Tej Bahadur; Sitaula, Chiranjibi</t>
  </si>
  <si>
    <t>S116</t>
  </si>
  <si>
    <t xml:space="preserve"> large language models; ontology learning;</t>
  </si>
  <si>
    <t>NeOn-GPT: A Large Language Model-Powered Pipeline for Ontology Learning</t>
  </si>
  <si>
    <t>Fathallah, Nadeen; Das, Arunav; Giorgis, Stefano De; Poltronieri, Andrea; Haase, Peter; Kovriguina, Liubov</t>
  </si>
  <si>
    <t>S117</t>
  </si>
  <si>
    <t>Nepali Transformers@NLU of Devanagari Script Languages 2025: Detection of Language, Hate Speech and Targets</t>
  </si>
  <si>
    <t>Khadka, Pilot; Bk, Ankit; Acharya, Ashish; K.C., Bikram; Shrestha, Sandesh; Thapa, Rabin</t>
  </si>
  <si>
    <t>S118</t>
  </si>
  <si>
    <t>Nepali; BERT; masked language modeling; pre-training</t>
  </si>
  <si>
    <t>NepaliBERT: Pre-training of Masked Language Model in Nepali Corpus</t>
  </si>
  <si>
    <t>Pudasaini, Shushanta; Shakya, Subarna; Tamang, Aakash; Adhikari, Sajjan; Thapa, Sunil; Lamichhane, Sagar</t>
  </si>
  <si>
    <t>S119</t>
  </si>
  <si>
    <t>Nepali; generative language model; GPT; text generation</t>
  </si>
  <si>
    <t>NepaliGPT: A Generative Language Model for the Nepali Language</t>
  </si>
  <si>
    <t>Pudasaini, Shushanta; Shakya, Aman; Shrestha, Siddhartha; Bhatta, Sahil; Thapa, Sunil; Palikhe, Sushmita</t>
  </si>
  <si>
    <t>S12</t>
  </si>
  <si>
    <t>low-resource languages; Germanic languages; dialects; corpora; survey</t>
  </si>
  <si>
    <t>A Survey of Corpora for Germanic Low-Resource Languages and Dialects</t>
  </si>
  <si>
    <t>Blaschke, Verena; Schuetze, Hinrich; Plank, Barbara</t>
  </si>
  <si>
    <t>S120</t>
  </si>
  <si>
    <t>Nepali; BERT; language model; pre-training corpus</t>
  </si>
  <si>
    <t>NepBERTa: Nepali Language Model Trained in a Large Corpus</t>
  </si>
  <si>
    <t>Timilsina, Sulav; Gautam, Milan; Bhattarai, Binod</t>
  </si>
  <si>
    <t>S121</t>
  </si>
  <si>
    <t>Nepali; word embeddings; evaluation; NPVec1</t>
  </si>
  <si>
    <t>NPVec1: Word Embeddings for Nepali - Construction and Evaluation</t>
  </si>
  <si>
    <t>Koirala, Pravesh; Niraula, Nobal B.</t>
  </si>
  <si>
    <t>S122</t>
  </si>
  <si>
    <t>rule-based information extraction</t>
  </si>
  <si>
    <t>Odinson: A Fast Rule-based Information Extraction Framework - ACL Anthology</t>
  </si>
  <si>
    <t>S123</t>
  </si>
  <si>
    <t>open information extraction</t>
  </si>
  <si>
    <t>Open information extraction from the web</t>
  </si>
  <si>
    <t>Banko, Michele; Cafarella, Michael J.; Soderland, Stephen; Broadhead, Matt; Etzioni, Oren</t>
  </si>
  <si>
    <t>S124</t>
  </si>
  <si>
    <t>open information extraction; Wikipedia</t>
  </si>
  <si>
    <t>Open Information Extraction Using Wikipedia</t>
  </si>
  <si>
    <t>S125</t>
  </si>
  <si>
    <t>Open Language Learning for Information Extraction</t>
  </si>
  <si>
    <t>Mausam; Schmitz, Michael; Soderland, Stephen; Bart, Robert; Etzioni, Oren</t>
  </si>
  <si>
    <t>S126</t>
  </si>
  <si>
    <t>open information extraction; OpenIE6; grid labeling; coordination analysis</t>
  </si>
  <si>
    <t>OpenIE6: Iterative Grid Labeling and Coordination Analysis for Open Information Extraction</t>
  </si>
  <si>
    <t>Kolluru, Keshav; Adlakha, Vaibhav; Aggarwal, Samarth; Mausam; Chakrabarti, Soumen</t>
  </si>
  <si>
    <t>S127</t>
  </si>
  <si>
    <t>triple extraction; graph enrichment; large language models; prompting</t>
  </si>
  <si>
    <t>Organising Knowledge from Text: Prompt-Based Triple Extraction and Graph Enrichment with Large Language Models</t>
  </si>
  <si>
    <t>S128</t>
  </si>
  <si>
    <t>entity and relation extraction; packed levitated marker; span-based</t>
  </si>
  <si>
    <t>Packed Levitated Marker for Entity and Relation Extraction</t>
  </si>
  <si>
    <t>Ye, Deming; Lin, Yankai; Li, Peng; Sun, Maosong</t>
  </si>
  <si>
    <t>S129</t>
  </si>
  <si>
    <t>Nepali; parsing; Paninian framework; dependency grammar</t>
  </si>
  <si>
    <t>Parsing Techniques using Paninian Framework on Nepali Language</t>
  </si>
  <si>
    <t>Yajnik, Archit; Sharma, Dhanapati</t>
  </si>
  <si>
    <t>S13</t>
  </si>
  <si>
    <t>open information extraction; large language models; rule-based methods; survey</t>
  </si>
  <si>
    <t>A Survey on Open Information Extraction from Rule-based Model to Large Language Model</t>
  </si>
  <si>
    <t>Pai, Liu; Gao, Wenyang; Dong, Wenjie; Ai, Lin; Gong, Ziwei; Huang, Songfang; Zongsheng, Li; Hoque, Ehsan; Hirschberg, Julia; Zhang, Yue</t>
  </si>
  <si>
    <t>S130</t>
  </si>
  <si>
    <t>agricultural knowledge graph; multilingual query system; PooRaa-Agri</t>
  </si>
  <si>
    <t>PooRaa-Agri KG: An agricultural knowledge graph-based simplified multilingual query system</t>
  </si>
  <si>
    <t>Sivakumar, Nethraa; Srinivasan, Pooja; Kannan, Mrinalini; P, Vijayalakshmi; T, Nagarajan</t>
  </si>
  <si>
    <t>S131</t>
  </si>
  <si>
    <t>slot filling; relation extraction; position-aware attention; TACRED</t>
  </si>
  <si>
    <t>Position-aware Attention and Supervised Data Improve Slot Filling</t>
  </si>
  <si>
    <t>Zhang, Yuhao; Zhong, Victor; Chen, Danqi; Angeli, Gabor; Manning, Christopher D.</t>
  </si>
  <si>
    <t>S132</t>
  </si>
  <si>
    <t>part-of-speech tagging; Nepali; ambiguity; neural network</t>
  </si>
  <si>
    <t>Probabilistic and Neural Network Based POS Tagging of Ambiguous Nepali text: A Comparative Study</t>
  </si>
  <si>
    <t>Pradhan, Ashish; Yajnik, Archit</t>
  </si>
  <si>
    <t>S133</t>
  </si>
  <si>
    <t>named entity recognition; Nepali; prompt engineering; large language models</t>
  </si>
  <si>
    <t>Prompt Engineering for Nepali NER: Leveraging Hindi-Capable LLMs for Low-Resource Languages</t>
  </si>
  <si>
    <t>Yadav, Dipendra; Suravee, Sumaiya; Kemnitz, Stefan; Strauss, Tobias; Yordanova, Kristina</t>
  </si>
  <si>
    <t>S134</t>
  </si>
  <si>
    <t>Prompt-based Zero-shot Relation Extraction with Semantic Knowledge Augmentation</t>
  </si>
  <si>
    <t>Gong, Jiaying; Eldardiry, Hoda</t>
  </si>
  <si>
    <t>S135</t>
  </si>
  <si>
    <t>relation extraction; end-to-end; generative models; REBEL; seq2seq</t>
  </si>
  <si>
    <t>REBEL: Relation Extraction By End-to-end Language generation</t>
  </si>
  <si>
    <t>Huguet Cabot, Pere-Lluís; Navigli, Roberto</t>
  </si>
  <si>
    <t>S136</t>
  </si>
  <si>
    <t>relation extraction; multilingual dataset; RED-FM</t>
  </si>
  <si>
    <t>RED FM : a Filtered and Multilingual Relation Extraction Dataset</t>
  </si>
  <si>
    <t>Huguet Cabot, ‪Pere-Lluís; Tedeschi, Simone; Ngonga Ngomo, Axel-Cyrille; Navigli, Roberto</t>
  </si>
  <si>
    <t>S137</t>
  </si>
  <si>
    <t>knowledge graph completion; low-resource; adversarial network</t>
  </si>
  <si>
    <t>Relation Adversarial Network for Low Resource Knowledge Graph Completion</t>
  </si>
  <si>
    <t>Zhang, Ningyu; Deng, Shumin; Sun, Zhanlin; Chen, Jiaoyan; Zhang, Wei; Chen, Huajun</t>
  </si>
  <si>
    <t>S138</t>
  </si>
  <si>
    <t>low-resource relation extraction; data generation; data selection</t>
  </si>
  <si>
    <t>Reliable Data Generation and Selection for Low-Resource Relation Extraction</t>
  </si>
  <si>
    <t>Yu, Junjie; Wang, Xing; Chen, Wenliang</t>
  </si>
  <si>
    <t>S139</t>
  </si>
  <si>
    <t>retrieval-augmented generation; Nepali; legal domain; question answering</t>
  </si>
  <si>
    <t>Retrieval Augmented Generation Framework for the Nepali Legal Domain Question Answering</t>
  </si>
  <si>
    <t>Wagle, Samir; Adhikari, Abiral; Khanal, Reewaj; Bhandari, Batsal; Manandhar, Prashant; Acharya, Praveen; Bal, Bal Krishna</t>
  </si>
  <si>
    <t>S14</t>
  </si>
  <si>
    <t>low-resource NLP; survey; data augmentation; transfer learning</t>
  </si>
  <si>
    <t>A Survey on Recent Approaches for Natural Language Processing in Low-Resource Scenarios</t>
  </si>
  <si>
    <t>Hedderich, Michael A.; Lange, Lukas; Adel, Heike; Strötgen, Jannik; Klakow, Dietrich</t>
  </si>
  <si>
    <t>S140</t>
  </si>
  <si>
    <t>relation extraction; retrieval-augmented generation</t>
  </si>
  <si>
    <t>Retrieval-Augmented Generation-Based Relation Extraction</t>
  </si>
  <si>
    <t>Efeoglu, Sefika; Paschke, Adrian</t>
  </si>
  <si>
    <t>S141</t>
  </si>
  <si>
    <t>relation extraction; large language models; in-context learning</t>
  </si>
  <si>
    <t>Revisiting Relation Extraction in the era of Large Language Models</t>
  </si>
  <si>
    <t>Wadhwa, Somin; Amir, Silvio; Wallace, Byron</t>
  </si>
  <si>
    <t>S142</t>
  </si>
  <si>
    <t>rule-based information extraction; system comparison</t>
  </si>
  <si>
    <t>Rule-Based Information Extraction is Dead! Long Live Rule-Based Information Extraction Systems!</t>
  </si>
  <si>
    <t>Chiticariu, Laura; Li, Yunyao; Reiss, Frederick R.</t>
  </si>
  <si>
    <t>S143</t>
  </si>
  <si>
    <t>entity linking</t>
  </si>
  <si>
    <t>Scalable Zero-shot Entity Linking with Dense Entity Retrieval</t>
  </si>
  <si>
    <t>Wu, Ledell; Petroni, Fabio; Josifoski, Martin; Riedel, Sebastian; Zettlemoyer, Luke</t>
  </si>
  <si>
    <t>S144</t>
  </si>
  <si>
    <t>knowledge graph construction</t>
  </si>
  <si>
    <t>Schema-adaptable Knowledge Graph Construction</t>
  </si>
  <si>
    <t>Ye, Hongbin; Gui, Honghao; Xu, Xin; Chen, Xi; Chen, Huajun; Zhang, Ningyu</t>
  </si>
  <si>
    <t>S145</t>
  </si>
  <si>
    <t>SemEval-2010 Task 8: Multi-Way Classification of Semantic Relations between Pairs of Nominals</t>
  </si>
  <si>
    <t>Hendrickx, Iris; Kim, Su Nam; Kozareva, Zornitsa; Nakov, Preslav; Ó Séaghdha, Diarmuid; Padó, Sebastian; Pennacchiotti, Marco; Romano, Lorenza; Szpakowicz, Stan</t>
  </si>
  <si>
    <t>S146</t>
  </si>
  <si>
    <t>document-level relation extraction; distant supervision; large language models; data enhancement</t>
  </si>
  <si>
    <t>Semi-automatic Data Enhancement for Document-Level Relation Extraction with Distant Supervision from Large Language Models</t>
  </si>
  <si>
    <t>Li, Junpeng; Jia, Zixia; Zheng, Zilong</t>
  </si>
  <si>
    <t>S147</t>
  </si>
  <si>
    <t>Solving the Problem of Cascading Errors: Approximate Bayesian Inference for Linguistic Annotation Pipelines</t>
  </si>
  <si>
    <t>Finkel, Jenny Rose; Manning, Christopher D.; Ng, Andrew Y.</t>
  </si>
  <si>
    <t>S148</t>
  </si>
  <si>
    <t>Nepali grammar; linguistics; morphology; syntax</t>
  </si>
  <si>
    <t>Structure of Nepali grammar</t>
  </si>
  <si>
    <t>Bal, Bal Krishna</t>
  </si>
  <si>
    <t>S149</t>
  </si>
  <si>
    <t>information extraction; Nepali; scanned documents; layout transformer; LLMs</t>
  </si>
  <si>
    <t>Structured Information Extraction from Nepali Scanned Documents using Layout Transformer and LLMs</t>
  </si>
  <si>
    <t>Neupane, Aayush; Lamichhane, Aayush; Paudel, Ankit; Shakya, Aman</t>
  </si>
  <si>
    <t>S15</t>
  </si>
  <si>
    <t>Nepali NLP; low-resource languages</t>
  </si>
  <si>
    <t>Abstractive Summarization of Low resourced Nepali language using Multilingual Transformers</t>
  </si>
  <si>
    <t>Dhakal, Prakash; Baral, Daya Sagar</t>
  </si>
  <si>
    <t>S150</t>
  </si>
  <si>
    <t>structured information extraction; scientific text; large language models</t>
  </si>
  <si>
    <t>Structured information extraction from scientific text with large language models</t>
  </si>
  <si>
    <t>Dagdelen, John; Dunn, Alexander; Lee, Sanghoon; Walker, Nicholas; Rosen, Andrew S.; Ceder, Gerbrand; Persson, Kristin A.; Jain, Anubhav</t>
  </si>
  <si>
    <t>S151</t>
  </si>
  <si>
    <t>supervised open information extraction</t>
  </si>
  <si>
    <t>Supervised Open Information Extraction</t>
  </si>
  <si>
    <t>Stanovsky, Gabriel; Michael, Julian; Zettlemoyer, Luke; Dagan, Ido</t>
  </si>
  <si>
    <t>S152</t>
  </si>
  <si>
    <t>knowledge graph; survey</t>
  </si>
  <si>
    <t>Ten Years of BabelNet: A Survey</t>
  </si>
  <si>
    <t>Navigli, Roberto; Bevilacqua, Michele; Conia, Simone; Montagnini, Dario; Cecconi, Francesco</t>
  </si>
  <si>
    <t>S153</t>
  </si>
  <si>
    <t>The Automatic Content Extraction (ACE) Program – Tasks, Data, and Evaluation</t>
  </si>
  <si>
    <t>Doddington, George; Mitchell, Alexis; Przybocki, Mark; Ramshaw, Lance; Strassel, Stephanie; Weischedel, Ralph</t>
  </si>
  <si>
    <t>S154</t>
  </si>
  <si>
    <t xml:space="preserve"> low-resource; Nepali; datasets</t>
  </si>
  <si>
    <t>The Flores-101 Evaluation Benchmark for Low-Resource and Multilingual Machine Translation</t>
  </si>
  <si>
    <t>Naman Goyal, Cynthia Gao, Vishrav Chaudhary, Peng-Jen Chen, Guillaume Wenzek, Da Ju, Sanjana Krishnan, Marc’Aurelio Ranzato, Francisco Guzmán, Angela Fan</t>
  </si>
  <si>
    <t>S155</t>
  </si>
  <si>
    <t>Winograd schema; commonsense reasoning; coreference; Turing test</t>
  </si>
  <si>
    <t>The Winograd Schema Challenge</t>
  </si>
  <si>
    <t>Levesque, Hector; Davis, Ernest; Morgenstern, Leora</t>
  </si>
  <si>
    <t>S156</t>
  </si>
  <si>
    <t>entity disambiguation; knowledge graphs; large language models</t>
  </si>
  <si>
    <t>Knowledge Graphs for Enhancing Large Language Models in Entity Disambiguation</t>
  </si>
  <si>
    <t>Pons, Gerard; Bilalli, Besim; Queralt, Anna</t>
  </si>
  <si>
    <t>S157</t>
  </si>
  <si>
    <t>keyword generation; Nepali; graph-based extraction; LDA topic modelling</t>
  </si>
  <si>
    <t>Topic-Wide Keyword Generation From Nepali Documents Through Graph-Based Extraction and LDA Topic Models</t>
  </si>
  <si>
    <t>Shrestha, Sagar; Pokhrel, Sitaram; Adhikari, Smita</t>
  </si>
  <si>
    <t>S158</t>
  </si>
  <si>
    <t>knowledge graph lifecycle; knowledge graph population; pipeline; commercial knowledge graph</t>
  </si>
  <si>
    <t>Towards a Knowledge Graph Lifecycle: A pipeline for the population of a commercial Knowledge Graph</t>
  </si>
  <si>
    <t>Simsek, Umutcan; Umbrich, Jurgen; Fensel, Dieter</t>
  </si>
  <si>
    <t>S159</t>
  </si>
  <si>
    <t>low-resource relation extraction; benchmark; empirical study</t>
  </si>
  <si>
    <t>Towards Realistic Low-resource Relation Extraction: A Benchmark with Empirical Baseline Study</t>
  </si>
  <si>
    <t>Xu, Xin; Chen, Xiang; Zhang, Ningyu; Xie, Xin; Chen, Xi; Chen, Huajun</t>
  </si>
  <si>
    <t>S160</t>
  </si>
  <si>
    <t>knowledge graph construction; RML; mapping generation; large language models</t>
  </si>
  <si>
    <t>Towards self-configuring Knowledge Graph Construction Pipelines using LLMs - A Case Study with RML</t>
  </si>
  <si>
    <t>Hofer, Marvin; Frey, Johannes; Rahm, Erhard</t>
  </si>
  <si>
    <t>S161</t>
  </si>
  <si>
    <t>relation extraction; tree kernel; parse trees; convolution kernels</t>
  </si>
  <si>
    <t>Tree Kernel-Based Relation Extraction with Context-Sensitive Structured Parse Tree Information</t>
  </si>
  <si>
    <t>Zhou, GuoDong; Zhang, Min; Ji, Dong Hong; Zhu, QiaoMing</t>
  </si>
  <si>
    <t>S162</t>
  </si>
  <si>
    <t>joint entity and relation extraction; table-sequence encoders</t>
  </si>
  <si>
    <t>Two are Better than One: Joint Entity and Relation Extraction with Table-Sequence Encoders</t>
  </si>
  <si>
    <t>Wang, Jue; Lu, Wei</t>
  </si>
  <si>
    <t>S163</t>
  </si>
  <si>
    <t>joint relational triple extraction; unified representation; UniRel</t>
  </si>
  <si>
    <t>UniRel: Unified Representation and Interaction for Joint Relational Triple Extraction</t>
  </si>
  <si>
    <t>Tang, Wei; Xu, Benfeng; Zhao, Yuyue; Mao, Zhendong; Liu, Yifeng; Liao, Yong; Xie, Haiyong</t>
  </si>
  <si>
    <t>S164</t>
  </si>
  <si>
    <t>www.ijcai.org</t>
  </si>
  <si>
    <t>relation triplet extraction; low-resource; large language models; data generation</t>
  </si>
  <si>
    <t>Unleashing the power of Large Language Models for Low-Resource Relation Triplet Extraction by Structure-to-Text Data Generation</t>
  </si>
  <si>
    <t>Guo, Qian; Guo, Yi; Zhao, Jin</t>
  </si>
  <si>
    <t>S165</t>
  </si>
  <si>
    <t>relational triple extraction; in-context learning; tabular prompting</t>
  </si>
  <si>
    <t>Unlocking Instructive In-Context Learning with Tabular Prompting for Relational Triple Extraction</t>
  </si>
  <si>
    <t>Li, Guozheng; Ke, Wenjun; Wang, Peng; Xu, Zijie; Ji, Ke; Liu, Jiajun; Shang, Ziyu; Luo, Qiqing</t>
  </si>
  <si>
    <t>S166</t>
  </si>
  <si>
    <t>cross-lingual representation learning; XLM-R; multilingual; masked language models</t>
  </si>
  <si>
    <t>Unsupervised Cross-lingual Representation Learning at Scale</t>
  </si>
  <si>
    <t>Conneau, Alexis; Khandelwal, Kartikay; Goyal, Naman; Chaudhary, Vishrav; Wenzek, Guillaume; Guzmán, Francisco; Grave, Edouard; Ott, Myle; Zettlemoyer, Luke; Stoyanov, Veselin</t>
  </si>
  <si>
    <t>S167</t>
  </si>
  <si>
    <t>Zotero</t>
  </si>
  <si>
    <t>named entity disambiguation; unsupervised; low-resource domains</t>
  </si>
  <si>
    <t>Unsupervised Named Entity Disambiguation for Low Resource Domains</t>
  </si>
  <si>
    <t>Datta, Debarghya; Pramanik, Soumajit</t>
  </si>
  <si>
    <t>S168</t>
  </si>
  <si>
    <t>YAGO; knowledge base; taxonomy; schema.org</t>
  </si>
  <si>
    <t>YAGO 4.5: A Large and Clean Knowledge Base with a Rich Taxonomy</t>
  </si>
  <si>
    <t>Suchanek, Fabian M.; Alam, Mehwish; Bonald, Thomas; Chen, Lihu; Paris, Pierre-Henri; Soria, Jules</t>
  </si>
  <si>
    <t>S169</t>
  </si>
  <si>
    <t>Wikidata; subsetting; knowledge graphs; evaluation</t>
  </si>
  <si>
    <t>Wikidata subsetting: Approaches, tools, and evaluation</t>
  </si>
  <si>
    <t>Hosseini Beghaeiraveri, Seyed Amir; Labra Gayo, Jose Emilio; Waagmeester, Andra; Ammar, Ammar; Gonzalez, Carolina; Slenter, Denise; Ul-Hasan, Sabah; Willighagen, Egon; McNeill, Fiona; Gray, Alasdair J.G.</t>
  </si>
  <si>
    <t>S17</t>
  </si>
  <si>
    <t>e-commerce; domain knowledge graph; knowledge graph construction; AliMe</t>
  </si>
  <si>
    <t>AliMeKG: Domain Knowledge Graph Construction and Application in E-commerce</t>
  </si>
  <si>
    <t>Li, Feng-Lin; Chen, Hehong; Xu, Guohai; Qiu, Tian; Ji, Feng; Zhang, Ji; Chen, Haiqing</t>
  </si>
  <si>
    <t>S170</t>
  </si>
  <si>
    <t>Wikidata; knowledge base; collaborative editing</t>
  </si>
  <si>
    <t>Wikidata: a free collaborative knowledgebase</t>
  </si>
  <si>
    <t>Vrandečić, Denny; Krötzsch, Markus</t>
  </si>
  <si>
    <t>S171</t>
  </si>
  <si>
    <t>Wikidata; lightweight; knowledge extraction; exploration</t>
  </si>
  <si>
    <t>Wikidata-lite for Knowledge Extraction and Exploration</t>
  </si>
  <si>
    <t>Nguyen, Phuc; Takeda, Hideaki</t>
  </si>
  <si>
    <t>S16</t>
  </si>
  <si>
    <t>XL-Sum: Large-Scale Multilingual Abstractive Summarization for 44 Languages</t>
  </si>
  <si>
    <t>Hasan, Tahmid; Bhattacharjee, Abhik; Islam, Md. Saiful; Mubasshir, Kazi; Li, Yuan-Fang; Kang, Yong-Bin; Rahman, M. Sohel; Shahriyar, Rifat</t>
  </si>
  <si>
    <t>S18</t>
  </si>
  <si>
    <t>joint entity and relation extraction; text-to-graph; autoregressive models</t>
  </si>
  <si>
    <t>An Autoregressive Text-to-Graph Framework for Joint Entity and Relation Extraction</t>
  </si>
  <si>
    <t>Zaratiana, Urchade; Tomeh, Nadi; Holat, Pierre; Charnois, Thierry</t>
  </si>
  <si>
    <t>S19</t>
  </si>
  <si>
    <t>knowledge graph population; table extraction; document digitisation; historical documents</t>
  </si>
  <si>
    <t>An End-to-End Pipeline for Knowledge Graph Population from 19th-Century Land Registry Digitised Tables</t>
  </si>
  <si>
    <t>Tual, Solenn; Abadie, Nathalie; Chazalon, Joseph; Duménieu, Bertrand; Perret, Julien</t>
  </si>
  <si>
    <t>S20</t>
  </si>
  <si>
    <t>dependency parsing; annotation projection; Nepali; low-resource languages</t>
  </si>
  <si>
    <t>Annotation Projection-based Dependency Parser Development for Nepali</t>
  </si>
  <si>
    <t>Rai, Pooja; Chatterji, Sanjay</t>
  </si>
  <si>
    <t>S21</t>
  </si>
  <si>
    <t>Nepali; large language models; transfer learning</t>
  </si>
  <si>
    <t>Application of Nepali Large Language Models to Improve Sentiment Analysis</t>
  </si>
  <si>
    <t>Pudasaini, Shushanta; Ghimire, Sunil; Ale, Prabhat; Shakya, Aman; Paudel, Prakriti; Joshi, Basanta</t>
  </si>
  <si>
    <t>S22</t>
  </si>
  <si>
    <t>automatic knowledge graph construction; ICDM/ICBK contest; knowledge extraction</t>
  </si>
  <si>
    <t>Automatic Knowledge Graph Construction: A Report on the 2019 ICDM/ICBK Contest</t>
  </si>
  <si>
    <t>Wu, Xindong; Wu, Jia; Fu, Xiaoyi; Li, Jiachen; Zhou, Peng; Jiang, Xu</t>
  </si>
  <si>
    <t>S23</t>
  </si>
  <si>
    <t xml:space="preserve"> knowledge graph</t>
  </si>
  <si>
    <t>Automatically Generating Hindi Wikipedia Pages Using Wikidata as a Knowledge Graph: A Domain-Specific Template Sentences Approach</t>
  </si>
  <si>
    <t>Agarwal, Aditya; Mamidi, Radhika</t>
  </si>
  <si>
    <t>S24</t>
  </si>
  <si>
    <t>entity retrieval; entity linking; autoregressive language models; sequence-to-sequence</t>
  </si>
  <si>
    <t>Autoregressive Entity Retrieval</t>
  </si>
  <si>
    <t>Cao, Nicola De; Izacard, Gautier; Riedel, Sebastian; Petroni, Fabio</t>
  </si>
  <si>
    <t>S25</t>
  </si>
  <si>
    <t>knowledge graph construction; schema induction; large language models; conceptualization</t>
  </si>
  <si>
    <t>AutoSchemaKG: Autonomous Knowledge Graph Construction through Dynamic Schema Induction from Web-Scale Corpora</t>
  </si>
  <si>
    <t>Bai, Jiaxin; Fan, Wei; Hu, Qi; Zong, Qing; Li, Chunyang; Tsang, Hong Ting; Luo, Hongyu; Yim, Yauwai; Huang, Haoyu; Zhou, Xiao; Qin, Feng; Zheng, Tianshi; Peng, Xi; Yao, Xin; Yang, Huiwen; Wu, Leijie; Yi, JI; Zhang, Gong; Chen, Renhai; Song, Yangqiu</t>
  </si>
  <si>
    <t>S26</t>
  </si>
  <si>
    <t>topic classification; BERT; Nepali; benchmarking</t>
  </si>
  <si>
    <t>Benchmarking BERT-based Models for Sentence-level Topic Classification in Nepali Language</t>
  </si>
  <si>
    <t>Karki, Nischal; Subedi, Bipesh; Poudyal, Prakash; Ghimire, Rupak Raj; Bal, Bal Krishna</t>
  </si>
  <si>
    <t>S27</t>
  </si>
  <si>
    <t>event extraction; Nepali; trigger identification; event classification; low-resource languages</t>
  </si>
  <si>
    <t>Benchmarking Models for Low-Resource Nepali Event Extraction with Trigger Phrase Identification and Event Classification</t>
  </si>
  <si>
    <t>Maharjan, Sujal; Shrestha, Astha; Koduru, Lakshmojee; Poudel, Sweta; Shiwakoti, Shuvam; Thapa, Rabin; Rauniyar, Kritesh; Thapa, Surendrabikram</t>
  </si>
  <si>
    <t>S28</t>
  </si>
  <si>
    <t>language representation; pre-training; transformers; bidirectional encoders</t>
  </si>
  <si>
    <t>BERT: Pre-training of Deep Bidirectional Transformers for Language Understanding</t>
  </si>
  <si>
    <t>Devlin, Jacob; Chang, Ming-Wei; Lee, Kenton; Toutanova, Kristina</t>
  </si>
  <si>
    <t>S29</t>
  </si>
  <si>
    <t>annotation tool; web-based; text annotation; NLP-assisted annotation</t>
  </si>
  <si>
    <t>brat: a Web-based Tool for NLP-Assisted Text Annotation</t>
  </si>
  <si>
    <t>Stenetorp, Pontus; Pyysalo, Sampo; Topić, Goran; Ohta, Tomoko; Ananiadou, Sophia; Tsujii, Jun'ichi</t>
  </si>
  <si>
    <t>S30</t>
  </si>
  <si>
    <t>coreference resolution; pronominal ambiguity; South Asian languages; multilingual models</t>
  </si>
  <si>
    <t>Bridge the GAP: Multi-lingual Models For Ambiguous Pronominal Coreference Resolution in South Asian Languages</t>
  </si>
  <si>
    <t>P, Rahothvarman; Rajeev, Adith John; Anuranjana, Kaveri; Mamidi, Radhika</t>
  </si>
  <si>
    <t>S31</t>
  </si>
  <si>
    <t>open information extraction; clause-based; dependency parsing; ClausIE</t>
  </si>
  <si>
    <t>ClausIE: clause-based open information extraction</t>
  </si>
  <si>
    <t>Del Corro, Luciano; Gemulla, Rainer</t>
  </si>
  <si>
    <t>S32</t>
  </si>
  <si>
    <t>knowledge graph; domain adaptation; distant supervision; iterative training</t>
  </si>
  <si>
    <t>Coarse-to-fine Knowledge Graph Domain Adaptation based on Distantly-supervised Iterative Training</t>
  </si>
  <si>
    <t>Liao, Wenxiong; Liu, Zhengliang; Zhang, Yiyang; Huang, Xiaoke; Qi, Fei; Ding, Siqi; Ren, Hui; Wu, Zihao; Dai, Haixing; Li, Sheng; Wu, Lingfei; Liu, Ninghao; Li, Quanzheng; Liu, Tianming; Li, Xiang; Cai, Hongmin</t>
  </si>
  <si>
    <t>S33</t>
  </si>
  <si>
    <t>relation extraction; cross-document; collective inference; distant supervision</t>
  </si>
  <si>
    <t>Collective Cross-Document Relation Extraction Without Labelled Data</t>
  </si>
  <si>
    <t>Yao, Limin; Riedel, Sebastian; McCallum, Andrew</t>
  </si>
  <si>
    <t>S34</t>
  </si>
  <si>
    <t>relation extraction; distant supervision; in-context learning; cross-lingual</t>
  </si>
  <si>
    <t>Combining Distantly Supervised Models with In Context Learning for Monolingual and Cross-Lingual Relation Extraction</t>
  </si>
  <si>
    <t>Rathore, Vipul Kumar; Faisal, Malik Hammad; Singla, Parag; Mausam</t>
  </si>
  <si>
    <t>S35</t>
  </si>
  <si>
    <t>commonsense knowledge; knowledge graph construction; transformers; knowledge base completion</t>
  </si>
  <si>
    <t>COMET: Commonsense Transformers for Automatic Knowledge Graph Construction</t>
  </si>
  <si>
    <t>Bosselut, Antoine; Rashkin, Hannah; Sap, Maarten; Malaviya, Chaitanya; Celikyilmaz, Asli; Choi, Yejin</t>
  </si>
  <si>
    <t>S36</t>
  </si>
  <si>
    <t>semantic search; LaBSE; mBERT; Nepali; knowledge base</t>
  </si>
  <si>
    <t>Comparing LaBSE with Contrastively and Soft-Label Fine-Tuned mBERT Models for Semantic Search over a Nepali Knowledge Base</t>
  </si>
  <si>
    <t>Baral, Dipesh</t>
  </si>
  <si>
    <t>S37</t>
  </si>
  <si>
    <t>ConceptNet; commonsense knowledge; multilingual knowledge graph; word embeddings</t>
  </si>
  <si>
    <t>ConceptNet 5.5: An Open Multilingual Graph of General Knowledge</t>
  </si>
  <si>
    <t>Speer, Robyn; Chin, Joshua; Havasi, Catherine</t>
  </si>
  <si>
    <t>S38</t>
  </si>
  <si>
    <t>Nepali; NLU benchmark; benchmark datasets; low-resource languages</t>
  </si>
  <si>
    <t>Consolidating and Developing Benchmarking Datasets for the Nepali Natural Language Understanding Tasks</t>
  </si>
  <si>
    <t>Nyachhyon, Jinu; Sharma, Mridul; Thapa, Prajwal; Bal, Bal Krishna</t>
  </si>
  <si>
    <t>S39</t>
  </si>
  <si>
    <t>Nepali; corpus annotation; corpus linguistics; part-of-speech tagging</t>
  </si>
  <si>
    <t>Construction and annotation of a corpus of contemporary Nepali</t>
  </si>
  <si>
    <t>Yadava, Yogendra P.; Hardie, Andrew; Lohani, Ram Raj; Regmi, Bhim N.; Gurung, Srishtee; Gurung, Amar; McEnery, Tony; Allwood, Jens; Hall, Pat</t>
  </si>
  <si>
    <t>S40</t>
  </si>
  <si>
    <t>named entity recognition; cross-lingual transfer; Hindi; Nepali; multilingual BERT</t>
  </si>
  <si>
    <t>Cross-Lingual Named Entity Recognition for Low-Resource Languages: A Hindi-Nepali Case Study Using Multilingual BERT Models</t>
  </si>
  <si>
    <t>Yadav, Dipendra; Suravee, Sumaiya; Strauß, Tobias; Yordanova, Kristina</t>
  </si>
  <si>
    <t>S41</t>
  </si>
  <si>
    <t>commonsense knowledge graph; knowledge integration; CSKG</t>
  </si>
  <si>
    <t>CSKG: The CommonSense Knowledge Graph</t>
  </si>
  <si>
    <t>Ilievski, Filip; Szekely, Pedro; Zhang, Bin</t>
  </si>
  <si>
    <t>S42</t>
  </si>
  <si>
    <t>open information extraction; low-resource; training framework; CycleOIE</t>
  </si>
  <si>
    <t>CycleOIE: A Low-Resource Training Framework For Open Information Extraction</t>
  </si>
  <si>
    <t>Jin, Zhihong; Zhang, Chunhong; Hu, Zheng; Yu, Jibin; Ma, Ruiqi; Chen, Qingyun; Liao, Xiaohao; Zhang, Yanxing</t>
  </si>
  <si>
    <t>S43</t>
  </si>
  <si>
    <t>named entity recognition; Nepali; tweets; benchmark dataset</t>
  </si>
  <si>
    <t>DanfeNER - Named Entity Recognition in Nepali Tweets</t>
  </si>
  <si>
    <t>S44</t>
  </si>
  <si>
    <t>DBpedia; linked data; semantic web; Wikipedia extraction</t>
  </si>
  <si>
    <t>DBpedia: A Nucleus for a Web of Open Data</t>
  </si>
  <si>
    <t>Auer, Sören; Bizer, Christian; Kobilarov, Georgi; Lehmann, Jens; Cyganiak, Richard; Ives, Zachary</t>
  </si>
  <si>
    <t>S45</t>
  </si>
  <si>
    <t>sequence labeling; part-of-speech tagging; named entity recognition; Nepali; deep learning</t>
  </si>
  <si>
    <t>Deep Learning-based Sequence Labeling Tools for Nepali</t>
  </si>
  <si>
    <t>Rai, Pooja; Chatterji, Sanjay; Kim, Byung-Gyu</t>
  </si>
  <si>
    <t>S46</t>
  </si>
  <si>
    <t>entity linking; error analysis; design challenges</t>
  </si>
  <si>
    <t>Design Challenges for Entity Linking</t>
  </si>
  <si>
    <t>Ling, Xiao; Singh, Sameer; Weld, Daniel S.</t>
  </si>
  <si>
    <t>S47</t>
  </si>
  <si>
    <t>Nepali; pre-trained language models; transformers; low-resource languages</t>
  </si>
  <si>
    <t>Development of Pre-Trained Transformer-based Models for the Nepali Language</t>
  </si>
  <si>
    <t>Thapa, Prajwal; Nyachhyon, Jinu; Sharma, Mridul; Bal, Bal Krishna</t>
  </si>
  <si>
    <t>S48</t>
  </si>
  <si>
    <t>distantly supervised relation extraction; multilingual dataset; DiS-ReX</t>
  </si>
  <si>
    <t>DiS-ReX: A Multilingual Dataset for Distantly Supervised Relation Extraction</t>
  </si>
  <si>
    <t>Bhartiya, Abhyuday; Badola, Kartikeya; Mausam</t>
  </si>
  <si>
    <t>S49</t>
  </si>
  <si>
    <t>distant supervision; relation extraction; piecewise CNN; multi-instance learning</t>
  </si>
  <si>
    <t>Distant Supervision for Relation Extraction via Piecewise Convolutional Neural Networks</t>
  </si>
  <si>
    <t>Zeng, Daojian; Liu, Kang; Chen, Yubo; Zhao, Jun</t>
  </si>
  <si>
    <t>S50</t>
  </si>
  <si>
    <t>distant supervision; relation extraction; Freebase; unlabeled text</t>
  </si>
  <si>
    <t>Distant supervision for relation extraction without labeled data</t>
  </si>
  <si>
    <t>Mintz, Mike; Bills, Steven; Snow, Rion; Jurafsky, Daniel</t>
  </si>
  <si>
    <t>S51</t>
  </si>
  <si>
    <t>distant supervision; relation extraction; attention; bag-level</t>
  </si>
  <si>
    <t>Distant Supervision Relation Extraction with Intra-Bag and Inter-Bag Attentions</t>
  </si>
  <si>
    <t>Ye, Zhi-Xiu; Ling, Zhen-Hua</t>
  </si>
  <si>
    <t>S52</t>
  </si>
  <si>
    <t>domain-specific knowledge graph construction; knowledge graphs; information extraction</t>
  </si>
  <si>
    <t>Domain-Specific Knowledge Graph Construction</t>
  </si>
  <si>
    <t>Kejriwal, Mayank</t>
  </si>
  <si>
    <t>S53</t>
  </si>
  <si>
    <t>distant supervision; relation extraction; memory networks</t>
  </si>
  <si>
    <t>Effective Deep Memory Networks for Distant Supervised Relation Extraction</t>
  </si>
  <si>
    <t>Feng, Xiaocheng; Guo, Jiang; Qin, Bing; Liu, Ting; Liu, Yongjie</t>
  </si>
  <si>
    <t>S54</t>
  </si>
  <si>
    <t>relation extraction; entity extraction; LSTM; tree structures; end-to-end</t>
  </si>
  <si>
    <t>End-to-End Relation Extraction using LSTMs on Sequences and Tree Structures</t>
  </si>
  <si>
    <t>Miwa, Makoto; Bansal, Mohit</t>
  </si>
  <si>
    <t>S55</t>
  </si>
  <si>
    <t>relation extraction; biomedical text; large language models</t>
  </si>
  <si>
    <t>Enhancing Relation Extraction from Biomedical Texts by Large Language Models</t>
  </si>
  <si>
    <t>Asada, Masaki; Fukuda, Ken</t>
  </si>
  <si>
    <t>S56</t>
  </si>
  <si>
    <t>entity linking; large language models; generative models</t>
  </si>
  <si>
    <t>EntGPT: Entity Linking with Generative Large Language Models</t>
  </si>
  <si>
    <t>Ding, Yifan; Poudel, Amrit; Zeng, Qingkai; Weninger, Tim; Veeramani, Balaji; Bhattacharya, Sanmitra</t>
  </si>
  <si>
    <t>S57</t>
  </si>
  <si>
    <t>entity extraction; code-mixed text; Hindi-English; Tamil-English; social media</t>
  </si>
  <si>
    <t>Entity Extraction of Hindi-English and Tamil-English Code-Mixed Social Media Text | Springer Nature Link</t>
  </si>
  <si>
    <t>S58</t>
  </si>
  <si>
    <t>entity linking; deep learning; survey</t>
  </si>
  <si>
    <t>Entity Linking Meets Deep Learning: Techniques and Solutions</t>
  </si>
  <si>
    <t>Shen, Wei; Li, Yuhan; Liu, Yinan; Han, Jiawei; Wang, Jianyong; Yuan, Xiaojie</t>
  </si>
  <si>
    <t>S59</t>
  </si>
  <si>
    <t>zero anaphora; null-object; Nepali English; second language</t>
  </si>
  <si>
    <t>Zero Anaphora in Nonnative Texts: Null-Object Anaphora in Nepali English</t>
  </si>
  <si>
    <t>Hartford, Beverly S.</t>
  </si>
  <si>
    <t>S60</t>
  </si>
  <si>
    <t>entity linking; knowledge base; survey; entity disambiguation</t>
  </si>
  <si>
    <t>Entity Linking with a Knowledge Base: Issues, Techniques, and Solutions</t>
  </si>
  <si>
    <t>Shen, Wei; Wang, Jianyong; Han, Jiawei</t>
  </si>
  <si>
    <t>S61</t>
  </si>
  <si>
    <t>entity linking; named entity recognition; Wikidata; systematic literature review</t>
  </si>
  <si>
    <t>Entity Linking with Wikidata: A Systematic Literature Review</t>
  </si>
  <si>
    <t>Scharpf, Philipp; Breitinger, Corinna; Spitz, Andreas; Meuschke, Norman; Greiner-Petter, André; Schubotz, Moritz; Gipp, Bela</t>
  </si>
  <si>
    <t>S62</t>
  </si>
  <si>
    <t>benchmark datasets; dataset quality; Turkish; low-resource languages</t>
  </si>
  <si>
    <t>Evaluating the Quality of Benchmark Datasets for Low-Resource Languages: A Case Study on Turkish</t>
  </si>
  <si>
    <t>Umutlu, Elif Ecem; Cengiz, Ayse Aysu; Sever, Ahmet Kaan; Erdem, Seyma; Aytan, Burak; Tufan, Busra; Topraksoy, Abdullah; Darıcı, Esra; Toraman, Cagri</t>
  </si>
  <si>
    <t>S63</t>
  </si>
  <si>
    <t>knowledge graph construction; lexical patterns; Spanish; unstructured text</t>
  </si>
  <si>
    <t>Exploiting lexical patterns for knowledge graph construction from unstructured text in Spanish</t>
  </si>
  <si>
    <t>Rios-Alvarado, Ana B.; Martinez-Rodriguez, Jose L.; Garcia-Perez, Andrea G.; Guerrero-Melendez, Tania Y.; Lopez-Arevalo, Ivan; Gonzalez-Compean, Jose Luis</t>
  </si>
  <si>
    <t>S64</t>
  </si>
  <si>
    <t>named entity recognition; part-of-speech tagging; large language models; Nepali</t>
  </si>
  <si>
    <t>Exploring the Potential of Large Language Models (LLMs) for Low-resource Languages: A Study on Named-Entity Recognition (NER) and Part-Of-Speech (POS) Tagging for Nepali Language</t>
  </si>
  <si>
    <t>Subedi, Bipesh; Regmi, Sunil; Bal, Bal Krishna; Acharya, Praveen</t>
  </si>
  <si>
    <t>S65</t>
  </si>
  <si>
    <t>relation extraction; features; SVM; ACE</t>
  </si>
  <si>
    <t>Exploring Various Knowledge in Relation Extraction</t>
  </si>
  <si>
    <t>Zhou, GuoDong; Su, Jian; Zhang, Jie; Zhang, Min</t>
  </si>
  <si>
    <t>S66</t>
  </si>
  <si>
    <t>knowledge graph construction; large language models; fine-tuning; prompting</t>
  </si>
  <si>
    <t>Fine-tuning or prompting on LLMs: evaluating knowledge graph construction task</t>
  </si>
  <si>
    <t>Ghanem, Hussam; Cruz, Christophe</t>
  </si>
  <si>
    <t>S67</t>
  </si>
  <si>
    <t>question answering; Sanskrit; knowledge graph construction</t>
  </si>
  <si>
    <t>Framework for Question-Answering in Sanskrit through Automated Construction of Knowledge Graphs</t>
  </si>
  <si>
    <t>Terdalkar, Hrishikesh; Bhattacharya, Arnab</t>
  </si>
  <si>
    <t>S68</t>
  </si>
  <si>
    <t>Freebase; knowledge graph; collaborative database</t>
  </si>
  <si>
    <t>Freebase: a collaboratively created graph database for structuring human knowledge</t>
  </si>
  <si>
    <t>Bollacker, Kurt; Evans, Colin; Paritosh, Praveen; Sturge, Tim; Taylor, Jamie</t>
  </si>
  <si>
    <t>S69</t>
  </si>
  <si>
    <t>scholarly knowledge graph; natural language processing; machine learning</t>
  </si>
  <si>
    <t>Generating knowledge graphs by employing Natural Language Processing and Machine Learning techniques within the scholarly domain</t>
  </si>
  <si>
    <t>Dessì, Danilo; Osborne, Francesco; Reforgiato Recupero, Diego; Buscaldi, Davide; Motta, Enrico</t>
  </si>
  <si>
    <t>S70</t>
  </si>
  <si>
    <t>named entity recognition; generative AI; Nepali; prompting; large language models</t>
  </si>
  <si>
    <t>Generative AI for Named Entity Recognition in Low-Resource Language Nepali</t>
  </si>
  <si>
    <t>Neupane, Sameer; Chapagain, Jeevan; Niraula, Nobal B.; Koirala, Diwa</t>
  </si>
  <si>
    <t>S71</t>
  </si>
  <si>
    <t>relation extraction; in-context learning; large language models; GPT-RE</t>
  </si>
  <si>
    <t>GPT-RE: In-context Learning for Relation Extraction using Large Language Models</t>
  </si>
  <si>
    <t>Wan, Zhen; Cheng, Fei; Mao, Zhuoyuan; Liu, Qianying; Song, Haiyue; Li, Jiwei; Kurohashi, Sadao</t>
  </si>
  <si>
    <t>S72</t>
  </si>
  <si>
    <t>distant supervision; multilingual relation extraction; low-resource languages; data creation</t>
  </si>
  <si>
    <t>Guided Distant Supervision for Multilingual Relation Extraction Data: Adapting to a New Language</t>
  </si>
  <si>
    <t>Plum, Alistair; Ranasinghe, Tharindu; Purschke, Christoph</t>
  </si>
  <si>
    <t>S73</t>
  </si>
  <si>
    <t>knowledge graph construction; Indic languages; low-resource languages; Hindi</t>
  </si>
  <si>
    <t>HKG: A Novel Approach for Low Resource Indic Languages to Automatic KG Construction.</t>
  </si>
  <si>
    <t>Vats, Preeti; Sharma, Nonita; Sharma, Deepak Kumar</t>
  </si>
  <si>
    <t>S74</t>
  </si>
  <si>
    <t>open information extraction; ReVerb; relation phrases; syntactic and lexical constraints</t>
  </si>
  <si>
    <t>Identifying Relations for Open Information Extraction</t>
  </si>
  <si>
    <t>Fader, Anthony; Soderland, Stephen; Etzioni, Oren</t>
  </si>
  <si>
    <t>S75</t>
  </si>
  <si>
    <t>open information extraction; joint extraction; iterative memory; IMoJIE</t>
  </si>
  <si>
    <t>IMoJIE: Iterative Memory-Based Joint Open Information Extraction</t>
  </si>
  <si>
    <t>Kolluru, Keshav; Aggarwal, Samarth; Rathore, Vipul; Mausam; Chakrabarti, Soumen</t>
  </si>
  <si>
    <t>S76</t>
  </si>
  <si>
    <t>entity linking; knowledge graph; structure information</t>
  </si>
  <si>
    <t>Improving Entity Linking by Introducing Knowledge Graph Structure Information</t>
  </si>
  <si>
    <t>Li, Qijia; Li, Feng; Li, Shuchao; Li, Xiaoyu; Liu, Kang; Liu, Qing; Dong, Pengcheng</t>
  </si>
  <si>
    <t>S77</t>
  </si>
  <si>
    <t>in-context learning; long-context models; many-shot</t>
  </si>
  <si>
    <t>In-Context Learning with Long-Context Models: An In-Depth Exploration</t>
  </si>
  <si>
    <t>Bertsch, Amanda; Ivgi, Maor; Xiao, Emily; Alon, Uri; Berant, Jonathan; Gormley, Matthew R.; Neubig, Graham</t>
  </si>
  <si>
    <t>S78</t>
  </si>
  <si>
    <t>Indian languages; monolingual corpora; evaluation benchmarks; pre-trained language models; IndicNLPSuite</t>
  </si>
  <si>
    <t>CESI: Canonicalizing Open Knowledge Bases using Embeddings and Side Information</t>
  </si>
  <si>
    <t>Shikhar Vashishth, Prince Jain, Partha Talukdar</t>
  </si>
  <si>
    <t>S79</t>
  </si>
  <si>
    <t>open information extraction; Indic languages; multilingual; IndIE</t>
  </si>
  <si>
    <t>IndIE: A Multilingual Open Information Extraction Tool For Indic Languages</t>
  </si>
  <si>
    <t>Mishra, Ritwik; Singh, Simranjeet; Shah, Rajiv Ratn; Kumaraguru, Ponnurangam; Bhattacharyya, Pushpak</t>
  </si>
  <si>
    <t>S80</t>
  </si>
  <si>
    <t>information extraction; survey; structure extraction</t>
  </si>
  <si>
    <t>Information Extraction</t>
  </si>
  <si>
    <t>Sarawagi, Sunita</t>
  </si>
  <si>
    <t>S81</t>
  </si>
  <si>
    <t>information extraction; knowledge graph; Nepali</t>
  </si>
  <si>
    <t>Information Extraction from a Large Knowledge Graph in the Nepali Language</t>
  </si>
  <si>
    <t>Ghimire, Dadhi Ram; Panday, Sanjeeb Prasad; Shakya, Aman</t>
  </si>
  <si>
    <t>S82</t>
  </si>
  <si>
    <t>information extraction; text mining</t>
  </si>
  <si>
    <t>Information Extraction from Text</t>
  </si>
  <si>
    <t>S83</t>
  </si>
  <si>
    <t>incremental knowledge graph construction; large language models; iText2KG</t>
  </si>
  <si>
    <t>iText2KG: Incremental Knowledge Graphs Construction Using Large Language Models</t>
  </si>
  <si>
    <t>Lairgi, Yassir; Moncla, Ludovic; Cazabet, Rémy; Benabdeslem, Khalid; Cléau, Pierre</t>
  </si>
  <si>
    <t>S84</t>
  </si>
  <si>
    <t>knowledge base population; entity linking; relation linking; KBPearl</t>
  </si>
  <si>
    <t>KBPearl: a knowledge base population system supported by joint entity and relation linking</t>
  </si>
  <si>
    <t>Lin, Xueling; Li, Haoyang; Xin, Hao; Li, Zijian; Chen, Lei</t>
  </si>
  <si>
    <t>S85</t>
  </si>
  <si>
    <t>relation extraction; kernel methods; shallow parsing</t>
  </si>
  <si>
    <t>Kernel methods for relation extraction</t>
  </si>
  <si>
    <t>Zelenko, Dmitry; Aone, Chinatsu; Richardella, Anthony</t>
  </si>
  <si>
    <t>S86</t>
  </si>
  <si>
    <t>knowledge extraction; Hindi; information extraction</t>
  </si>
  <si>
    <t>Knowledge Extraction from Hindi Text: IETE Technical Review</t>
  </si>
  <si>
    <t>S87</t>
  </si>
  <si>
    <t>knowledge graph construction; knowledge extraction; evaluation</t>
  </si>
  <si>
    <t>Knowledge Graph Construction: Extraction, Learning, and Evaluation</t>
  </si>
  <si>
    <t>Choi, Seungmin; Jung, Yuchul</t>
  </si>
  <si>
    <t>S88</t>
  </si>
  <si>
    <t>knowledge graphs; survey; knowledge representation; graph data models</t>
  </si>
  <si>
    <t>Knowledge Graphs</t>
  </si>
  <si>
    <t>Hogan, Aidan; Blomqvist, Eva; Cochez, Michael; D’amato, Claudia; Melo, Gerard De; Gutierrez, Claudio; Kirrane, Sabrina; Gayo, José Emilio Labra; Navigli, Roberto; Neumaier, Sebastian; Ngomo, Axel-Cyrille Ngonga; Polleres, Axel; Rashid, Sabbir M.; Rula, Anisa; Schmelzeisen, Lukas; Sequeda, Juan; Staab, Steffen; Zimmermann, Antoine</t>
  </si>
  <si>
    <t>S89</t>
  </si>
  <si>
    <t>Indic language Benchmark; low-resource language</t>
  </si>
  <si>
    <t>Towards Leaving No Indic Language Behind: Building Monolingual Corpora, Benchmark and Models for Indic Languages</t>
  </si>
  <si>
    <t>Sumanth Doddapaneni, Rahul Aralikatte, Gowtham Ramesh, Shreya Goyal, Mitesh M. Khapra, Anoop Kunchukuttan, Pratyush Kumar</t>
  </si>
  <si>
    <t>S90</t>
  </si>
  <si>
    <t>knowledge graph; large language models; multi-modal data; building health</t>
  </si>
  <si>
    <t>Large language Models-empowered automatic knowledge graph development based on multi-modal data for building health resilience</t>
  </si>
  <si>
    <t>S91</t>
  </si>
  <si>
    <t>distant supervision; relation extraction rules; web</t>
  </si>
  <si>
    <t>Large-Scale Learning of Relation-Extraction Rules with Distant Supervision from the Web | Springer Nature Link</t>
  </si>
  <si>
    <t>S92</t>
  </si>
  <si>
    <t>machine translation evaluation; LLM-based evaluation; Sylheti; low-resource languages</t>
  </si>
  <si>
    <t>LLM-Based Evaluation of Low-Resource Machine Translation: A Reference-less Dialect Guided Approach with a Refined Sylheti-English Benchmark</t>
  </si>
  <si>
    <t>Rahman, Md Atiqur; Islam, Sabrina; Omi, Mushfiqul Haque</t>
  </si>
  <si>
    <t>S93</t>
  </si>
  <si>
    <t>knowledge graph construction; large language models; survey</t>
  </si>
  <si>
    <t>LLM-empowered knowledge graph construction: A survey</t>
  </si>
  <si>
    <t>Bian, Haonan</t>
  </si>
  <si>
    <t>S94</t>
  </si>
  <si>
    <t>large language models; ontology learning</t>
  </si>
  <si>
    <t>LLMs4Life: Large Language Models for Ontology Learning in Life Sciences</t>
  </si>
  <si>
    <t>Fathallah, Nadeen; Staab, Steffen; Algergawy, Alsayed</t>
  </si>
  <si>
    <t>S95</t>
  </si>
  <si>
    <t>Maithili; BERT; pre-training corpus; low-resource languages</t>
  </si>
  <si>
    <t>MaiBERT: A Pre-training Corpus and Language Model for Low-Resourced Maithili Language</t>
  </si>
  <si>
    <t>Yadav, Sumit; Yadav, Raju Kumar; Maskey, Utsav; Kashyap, Gautam Siddharth; Gautam, Ganesh; Naseem, Usman</t>
  </si>
  <si>
    <t>S96</t>
  </si>
  <si>
    <t>Nepali; dependency treebank; Universal Dependencies; treebank conversion</t>
  </si>
  <si>
    <t>Mapping of the Nepali Dependency Treebank to Universal Dependencies</t>
  </si>
  <si>
    <t>Rai, Pooja; Das, Ayan; Chatterji, Sanjay</t>
  </si>
  <si>
    <t>S97</t>
  </si>
  <si>
    <t>open information extraction; large language models; consistent reasoning</t>
  </si>
  <si>
    <t>Mastering the Task of Open Information Extraction with Large Language Models and Consistent Reasoning Environment</t>
  </si>
  <si>
    <t>Qi, Ji; Ji, Kaixuan; Wang, Xiaozhi; Yu, Jifan; Zeng, Kaisheng; Hou, Lei; Li, Juanzi; Xu, Bin</t>
  </si>
  <si>
    <t>S98</t>
  </si>
  <si>
    <t>relation extraction; meta in-context learning; zero-shot; few-shot</t>
  </si>
  <si>
    <t>Meta In-Context Learning Makes Large Language Models Better Zero and Few-Shot Relation Extractors</t>
  </si>
  <si>
    <t>Li, Guozheng; Wang, Peng; Liu, Jiajun; Guo, Yikai; Ji, Ke; Shang, Ziyu; Xu, Zijie</t>
  </si>
  <si>
    <t>S99</t>
  </si>
  <si>
    <t>relation extraction; distant supervision; latent variable model; weak supervision</t>
  </si>
  <si>
    <t>Modeling Relations and Their Mentions without Labeled Text</t>
  </si>
  <si>
    <t>Riedel, Sebastian; Yao, Limin; McCallum, Andrew</t>
  </si>
  <si>
    <t>Exclusion Reason</t>
  </si>
  <si>
    <t>ontology learning; large language models; pipeline; NeOn methodology</t>
  </si>
  <si>
    <t>knowledge graph construction; schema adaptation; schema-adaptable</t>
  </si>
  <si>
    <t>sentiment analysis; Nepali; large language models; transfer learning</t>
  </si>
  <si>
    <t>Inter-Annotator Agreement: Cohen's Kappa (Reviewer 1 vs Reviewer 2)</t>
  </si>
  <si>
    <t>All counts are live COUNTIFS formulas on the screening sheets (columns G and H), so they update if decisions change.</t>
  </si>
  <si>
    <t>Task 1: Title &amp; Abstract Screening</t>
  </si>
  <si>
    <t>R2: Include</t>
  </si>
  <si>
    <t>R2: Exclude</t>
  </si>
  <si>
    <t>Total</t>
  </si>
  <si>
    <t>R1: Include</t>
  </si>
  <si>
    <t>R1: Exclude</t>
  </si>
  <si>
    <t>N (studies rated by both)</t>
  </si>
  <si>
    <t>Observed agreement (Po)</t>
  </si>
  <si>
    <t>Expected agreement by chance (Pe)</t>
  </si>
  <si>
    <t>Cohen's Kappa</t>
  </si>
  <si>
    <t>Task 2: Full-Text Screening</t>
  </si>
  <si>
    <t>Kappa = (Po - Pe) / (1 - 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</si>
</sst>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0"/>
      <color theme="1"/>
      <name val="Calibri"/>
      <family val="2"/>
      <charset val="1"/>
    </font>
    <font>
      <sz val="10"/>
      <color rgb="FF000000"/>
      <name val="Times New Roman"/>
      <family val="1"/>
      <charset val="1"/>
    </font>
    <font>
      <b/>
      <sz val="11"/>
      <color theme="1"/>
      <name val="Calibri"/>
      <family val="2"/>
      <charset val="1"/>
    </font>
    <font>
      <b/>
      <sz val="12"/>
      <name val="Arial"/>
      <charset val="1"/>
    </font>
    <font>
      <i/>
      <sz val="1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/>
    <xf numFmtId="0" fontId="4" fillId="2" borderId="1" xfId="0" applyFont="1" applyFill="1" applyBorder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0" fillId="2" borderId="0" xfId="0" applyFill="1"/>
    <xf numFmtId="0" fontId="5" fillId="2" borderId="1" xfId="0" applyFont="1" applyFill="1" applyBorder="1"/>
    <xf numFmtId="0" fontId="1" fillId="2" borderId="1" xfId="0" applyFont="1" applyFill="1" applyBorder="1"/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top"/>
    </xf>
    <xf numFmtId="0" fontId="5" fillId="2" borderId="0" xfId="0" applyFont="1" applyFill="1" applyAlignment="1">
      <alignment horizontal="left" vertical="center" wrapText="1"/>
    </xf>
    <xf numFmtId="0" fontId="2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 applyAlignment="1">
      <alignment wrapText="1"/>
    </xf>
    <xf numFmtId="0" fontId="0" fillId="2" borderId="1" xfId="0" applyFill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3" borderId="2" xfId="0" applyFont="1" applyFill="1" applyBorder="1" applyAlignment="1">
      <alignment horizontal="center"/>
    </xf>
    <xf numFmtId="0" fontId="12" fillId="3" borderId="2" xfId="0" applyFont="1" applyFill="1" applyBorder="1"/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2" xfId="0" applyFont="1" applyBorder="1"/>
    <xf numFmtId="1" fontId="13" fillId="0" borderId="2" xfId="0" applyNumberFormat="1" applyFont="1" applyBorder="1" applyAlignment="1">
      <alignment horizontal="center"/>
    </xf>
    <xf numFmtId="164" fontId="13" fillId="0" borderId="2" xfId="0" applyNumberFormat="1" applyFont="1" applyBorder="1" applyAlignment="1">
      <alignment horizontal="center"/>
    </xf>
    <xf numFmtId="0" fontId="12" fillId="4" borderId="2" xfId="0" applyFont="1" applyFill="1" applyBorder="1"/>
    <xf numFmtId="164" fontId="12" fillId="4" borderId="2" xfId="0" applyNumberFormat="1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6000000}"/>
    <cellStyle name="Normal 3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2"/>
  <sheetViews>
    <sheetView showGridLines="0" topLeftCell="A145" zoomScaleNormal="100" workbookViewId="0">
      <selection activeCell="C148" sqref="C148"/>
    </sheetView>
  </sheetViews>
  <sheetFormatPr defaultColWidth="8.88671875" defaultRowHeight="14.4" x14ac:dyDescent="0.3"/>
  <cols>
    <col min="1" max="1" width="8.88671875" style="1"/>
    <col min="2" max="2" width="18" style="1" customWidth="1"/>
    <col min="3" max="3" width="28.21875" style="1" customWidth="1"/>
    <col min="4" max="4" width="64.44140625" style="2" customWidth="1"/>
    <col min="5" max="5" width="34.109375" style="3" customWidth="1"/>
    <col min="6" max="6" width="12" style="4" customWidth="1"/>
    <col min="7" max="7" width="20.109375" style="1" customWidth="1"/>
    <col min="8" max="8" width="19.109375" style="1" customWidth="1"/>
    <col min="9" max="9" width="8.88671875" style="1"/>
    <col min="10" max="10" width="13" style="1" customWidth="1"/>
    <col min="11" max="16384" width="8.88671875" style="1"/>
  </cols>
  <sheetData>
    <row r="1" spans="1:10" s="10" customFormat="1" ht="24.75" customHeight="1" x14ac:dyDescent="0.3">
      <c r="A1" s="5" t="s">
        <v>0</v>
      </c>
      <c r="B1" s="6" t="s">
        <v>1</v>
      </c>
      <c r="C1" s="5" t="s">
        <v>2</v>
      </c>
      <c r="D1" s="7" t="s">
        <v>3</v>
      </c>
      <c r="E1" s="8" t="s">
        <v>4</v>
      </c>
      <c r="F1" s="9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s="10" customFormat="1" ht="24.75" customHeight="1" x14ac:dyDescent="0.3">
      <c r="A2" s="11" t="s">
        <v>10</v>
      </c>
      <c r="B2" s="12" t="s">
        <v>11</v>
      </c>
      <c r="C2" s="12" t="s">
        <v>12</v>
      </c>
      <c r="D2" s="13" t="s">
        <v>13</v>
      </c>
      <c r="E2" s="14" t="s">
        <v>14</v>
      </c>
      <c r="F2" s="15">
        <v>2024</v>
      </c>
      <c r="G2" s="11" t="s">
        <v>15</v>
      </c>
      <c r="H2" s="11" t="s">
        <v>15</v>
      </c>
      <c r="I2" s="11" t="s">
        <v>16</v>
      </c>
      <c r="J2" s="11" t="s">
        <v>15</v>
      </c>
    </row>
    <row r="3" spans="1:10" s="10" customFormat="1" ht="24.75" customHeight="1" x14ac:dyDescent="0.3">
      <c r="A3" s="11" t="s">
        <v>17</v>
      </c>
      <c r="B3" s="12" t="s">
        <v>18</v>
      </c>
      <c r="C3" s="12" t="s">
        <v>19</v>
      </c>
      <c r="D3" s="13" t="s">
        <v>20</v>
      </c>
      <c r="E3" s="14" t="s">
        <v>21</v>
      </c>
      <c r="F3" s="15">
        <v>2023</v>
      </c>
      <c r="G3" s="11" t="s">
        <v>15</v>
      </c>
      <c r="H3" s="11" t="s">
        <v>15</v>
      </c>
      <c r="I3" s="11" t="s">
        <v>16</v>
      </c>
      <c r="J3" s="11" t="s">
        <v>15</v>
      </c>
    </row>
    <row r="4" spans="1:10" s="10" customFormat="1" ht="24.75" customHeight="1" x14ac:dyDescent="0.3">
      <c r="A4" s="11" t="s">
        <v>22</v>
      </c>
      <c r="B4" s="12" t="s">
        <v>23</v>
      </c>
      <c r="C4" s="12" t="s">
        <v>24</v>
      </c>
      <c r="D4" s="13" t="s">
        <v>25</v>
      </c>
      <c r="E4" s="14" t="s">
        <v>26</v>
      </c>
      <c r="F4" s="15">
        <v>2021</v>
      </c>
      <c r="G4" s="11" t="s">
        <v>15</v>
      </c>
      <c r="H4" s="11" t="s">
        <v>15</v>
      </c>
      <c r="I4" s="11" t="s">
        <v>16</v>
      </c>
      <c r="J4" s="11" t="s">
        <v>15</v>
      </c>
    </row>
    <row r="5" spans="1:10" s="10" customFormat="1" ht="24.75" customHeight="1" x14ac:dyDescent="0.3">
      <c r="A5" s="11" t="s">
        <v>27</v>
      </c>
      <c r="B5" s="12" t="s">
        <v>23</v>
      </c>
      <c r="C5" s="12" t="s">
        <v>28</v>
      </c>
      <c r="D5" s="13" t="s">
        <v>29</v>
      </c>
      <c r="E5" s="14" t="s">
        <v>30</v>
      </c>
      <c r="F5" s="15">
        <v>2022</v>
      </c>
      <c r="G5" s="11" t="s">
        <v>15</v>
      </c>
      <c r="H5" s="11" t="s">
        <v>15</v>
      </c>
      <c r="I5" s="11" t="s">
        <v>16</v>
      </c>
      <c r="J5" s="11" t="s">
        <v>15</v>
      </c>
    </row>
    <row r="6" spans="1:10" s="10" customFormat="1" ht="24.75" customHeight="1" x14ac:dyDescent="0.3">
      <c r="A6" s="11" t="s">
        <v>31</v>
      </c>
      <c r="B6" s="12" t="s">
        <v>18</v>
      </c>
      <c r="C6" s="12" t="s">
        <v>32</v>
      </c>
      <c r="D6" s="13" t="s">
        <v>33</v>
      </c>
      <c r="E6" s="14" t="s">
        <v>34</v>
      </c>
      <c r="F6" s="15">
        <v>2024</v>
      </c>
      <c r="G6" s="11" t="s">
        <v>15</v>
      </c>
      <c r="H6" s="11" t="s">
        <v>15</v>
      </c>
      <c r="I6" s="11" t="s">
        <v>16</v>
      </c>
      <c r="J6" s="11" t="s">
        <v>15</v>
      </c>
    </row>
    <row r="7" spans="1:10" s="10" customFormat="1" ht="24.75" customHeight="1" x14ac:dyDescent="0.3">
      <c r="A7" s="11" t="s">
        <v>35</v>
      </c>
      <c r="B7" s="12" t="s">
        <v>23</v>
      </c>
      <c r="C7" s="12" t="s">
        <v>36</v>
      </c>
      <c r="D7" s="13" t="s">
        <v>37</v>
      </c>
      <c r="E7" s="14" t="s">
        <v>38</v>
      </c>
      <c r="F7" s="15">
        <v>2021</v>
      </c>
      <c r="G7" s="11" t="s">
        <v>15</v>
      </c>
      <c r="H7" s="11" t="s">
        <v>15</v>
      </c>
      <c r="I7" s="11" t="s">
        <v>16</v>
      </c>
      <c r="J7" s="11" t="s">
        <v>15</v>
      </c>
    </row>
    <row r="8" spans="1:10" s="10" customFormat="1" ht="24.75" customHeight="1" x14ac:dyDescent="0.3">
      <c r="A8" s="11" t="s">
        <v>39</v>
      </c>
      <c r="B8" s="12" t="s">
        <v>23</v>
      </c>
      <c r="C8" s="12" t="s">
        <v>40</v>
      </c>
      <c r="D8" s="13" t="s">
        <v>41</v>
      </c>
      <c r="E8" s="14" t="s">
        <v>42</v>
      </c>
      <c r="F8" s="15">
        <v>2020</v>
      </c>
      <c r="G8" s="11" t="s">
        <v>15</v>
      </c>
      <c r="H8" s="11" t="s">
        <v>15</v>
      </c>
      <c r="I8" s="11" t="s">
        <v>16</v>
      </c>
      <c r="J8" s="11" t="s">
        <v>15</v>
      </c>
    </row>
    <row r="9" spans="1:10" s="10" customFormat="1" ht="24.75" customHeight="1" x14ac:dyDescent="0.3">
      <c r="A9" s="11" t="s">
        <v>43</v>
      </c>
      <c r="B9" s="12" t="s">
        <v>44</v>
      </c>
      <c r="C9" s="12" t="s">
        <v>45</v>
      </c>
      <c r="D9" s="13" t="s">
        <v>46</v>
      </c>
      <c r="E9" s="14" t="s">
        <v>47</v>
      </c>
      <c r="F9" s="15">
        <v>2020</v>
      </c>
      <c r="G9" s="11" t="s">
        <v>15</v>
      </c>
      <c r="H9" s="11" t="s">
        <v>15</v>
      </c>
      <c r="I9" s="11" t="s">
        <v>16</v>
      </c>
      <c r="J9" s="11" t="s">
        <v>15</v>
      </c>
    </row>
    <row r="10" spans="1:10" s="10" customFormat="1" ht="24.75" customHeight="1" x14ac:dyDescent="0.3">
      <c r="A10" s="11" t="s">
        <v>48</v>
      </c>
      <c r="B10" s="12" t="s">
        <v>23</v>
      </c>
      <c r="C10" s="12" t="s">
        <v>49</v>
      </c>
      <c r="D10" s="13" t="s">
        <v>50</v>
      </c>
      <c r="E10" s="14" t="s">
        <v>51</v>
      </c>
      <c r="F10" s="15">
        <v>2021</v>
      </c>
      <c r="G10" s="11" t="s">
        <v>52</v>
      </c>
      <c r="H10" s="11" t="s">
        <v>15</v>
      </c>
      <c r="I10" s="11" t="s">
        <v>53</v>
      </c>
      <c r="J10" s="11" t="s">
        <v>15</v>
      </c>
    </row>
    <row r="11" spans="1:10" s="10" customFormat="1" ht="24.75" customHeight="1" x14ac:dyDescent="0.3">
      <c r="A11" s="11" t="s">
        <v>54</v>
      </c>
      <c r="B11" s="12" t="s">
        <v>18</v>
      </c>
      <c r="C11" s="12" t="s">
        <v>55</v>
      </c>
      <c r="D11" s="13" t="s">
        <v>56</v>
      </c>
      <c r="E11" s="14" t="s">
        <v>57</v>
      </c>
      <c r="F11" s="15">
        <v>2024</v>
      </c>
      <c r="G11" s="11" t="s">
        <v>15</v>
      </c>
      <c r="H11" s="11" t="s">
        <v>15</v>
      </c>
      <c r="I11" s="11" t="s">
        <v>16</v>
      </c>
      <c r="J11" s="11" t="s">
        <v>15</v>
      </c>
    </row>
    <row r="12" spans="1:10" s="10" customFormat="1" ht="24.75" customHeight="1" x14ac:dyDescent="0.3">
      <c r="A12" s="11" t="s">
        <v>58</v>
      </c>
      <c r="B12" s="12" t="s">
        <v>23</v>
      </c>
      <c r="C12" s="12" t="s">
        <v>59</v>
      </c>
      <c r="D12" s="13" t="s">
        <v>60</v>
      </c>
      <c r="E12" s="14" t="s">
        <v>61</v>
      </c>
      <c r="F12" s="15">
        <v>2020</v>
      </c>
      <c r="G12" s="11" t="s">
        <v>15</v>
      </c>
      <c r="H12" s="11" t="s">
        <v>15</v>
      </c>
      <c r="I12" s="11" t="s">
        <v>16</v>
      </c>
      <c r="J12" s="11" t="s">
        <v>15</v>
      </c>
    </row>
    <row r="13" spans="1:10" s="10" customFormat="1" ht="24.75" customHeight="1" x14ac:dyDescent="0.3">
      <c r="A13" s="11" t="s">
        <v>62</v>
      </c>
      <c r="B13" s="12" t="s">
        <v>23</v>
      </c>
      <c r="C13" s="12" t="s">
        <v>63</v>
      </c>
      <c r="D13" s="13" t="s">
        <v>64</v>
      </c>
      <c r="E13" s="14" t="s">
        <v>65</v>
      </c>
      <c r="F13" s="15">
        <v>2022</v>
      </c>
      <c r="G13" s="11" t="s">
        <v>15</v>
      </c>
      <c r="H13" s="11" t="s">
        <v>15</v>
      </c>
      <c r="I13" s="11" t="s">
        <v>16</v>
      </c>
      <c r="J13" s="11" t="s">
        <v>15</v>
      </c>
    </row>
    <row r="14" spans="1:10" s="10" customFormat="1" ht="24.75" customHeight="1" x14ac:dyDescent="0.3">
      <c r="A14" s="11" t="s">
        <v>66</v>
      </c>
      <c r="B14" s="12" t="s">
        <v>67</v>
      </c>
      <c r="C14" s="12" t="s">
        <v>68</v>
      </c>
      <c r="D14" s="13" t="s">
        <v>69</v>
      </c>
      <c r="E14" s="14" t="s">
        <v>70</v>
      </c>
      <c r="F14" s="15">
        <v>2023</v>
      </c>
      <c r="G14" s="13" t="s">
        <v>15</v>
      </c>
      <c r="H14" s="13" t="s">
        <v>52</v>
      </c>
      <c r="I14" s="11" t="s">
        <v>53</v>
      </c>
      <c r="J14" s="11" t="s">
        <v>52</v>
      </c>
    </row>
    <row r="15" spans="1:10" s="10" customFormat="1" ht="24.75" customHeight="1" x14ac:dyDescent="0.3">
      <c r="A15" s="11" t="s">
        <v>71</v>
      </c>
      <c r="B15" s="12" t="s">
        <v>23</v>
      </c>
      <c r="C15" s="12" t="s">
        <v>72</v>
      </c>
      <c r="D15" s="13" t="s">
        <v>73</v>
      </c>
      <c r="E15" s="14" t="s">
        <v>74</v>
      </c>
      <c r="F15" s="15">
        <v>2015</v>
      </c>
      <c r="G15" s="13" t="s">
        <v>52</v>
      </c>
      <c r="H15" s="13" t="s">
        <v>52</v>
      </c>
      <c r="I15" s="11" t="s">
        <v>16</v>
      </c>
      <c r="J15" s="11" t="s">
        <v>52</v>
      </c>
    </row>
    <row r="16" spans="1:10" s="10" customFormat="1" ht="24.75" customHeight="1" x14ac:dyDescent="0.3">
      <c r="A16" s="11" t="s">
        <v>75</v>
      </c>
      <c r="B16" s="12" t="s">
        <v>23</v>
      </c>
      <c r="C16" s="12" t="s">
        <v>76</v>
      </c>
      <c r="D16" s="13" t="s">
        <v>77</v>
      </c>
      <c r="E16" s="14" t="s">
        <v>78</v>
      </c>
      <c r="F16" s="15">
        <v>2016</v>
      </c>
      <c r="G16" s="13" t="s">
        <v>52</v>
      </c>
      <c r="H16" s="13" t="s">
        <v>52</v>
      </c>
      <c r="I16" s="11" t="s">
        <v>16</v>
      </c>
      <c r="J16" s="11" t="s">
        <v>52</v>
      </c>
    </row>
    <row r="17" spans="1:10" s="10" customFormat="1" ht="24.75" customHeight="1" x14ac:dyDescent="0.3">
      <c r="A17" s="11" t="s">
        <v>79</v>
      </c>
      <c r="B17" s="12" t="s">
        <v>23</v>
      </c>
      <c r="C17" s="12" t="s">
        <v>80</v>
      </c>
      <c r="D17" s="13" t="s">
        <v>81</v>
      </c>
      <c r="E17" s="14" t="s">
        <v>82</v>
      </c>
      <c r="F17" s="15">
        <v>2025</v>
      </c>
      <c r="G17" s="13" t="s">
        <v>52</v>
      </c>
      <c r="H17" s="13" t="s">
        <v>52</v>
      </c>
      <c r="I17" s="11" t="s">
        <v>16</v>
      </c>
      <c r="J17" s="11" t="s">
        <v>52</v>
      </c>
    </row>
    <row r="18" spans="1:10" s="10" customFormat="1" ht="24.75" customHeight="1" x14ac:dyDescent="0.3">
      <c r="A18" s="11" t="s">
        <v>83</v>
      </c>
      <c r="B18" s="12" t="s">
        <v>23</v>
      </c>
      <c r="C18" s="12" t="s">
        <v>84</v>
      </c>
      <c r="D18" s="13" t="s">
        <v>85</v>
      </c>
      <c r="E18" s="14" t="s">
        <v>86</v>
      </c>
      <c r="F18" s="15">
        <v>2018</v>
      </c>
      <c r="G18" s="11" t="s">
        <v>15</v>
      </c>
      <c r="H18" s="11" t="s">
        <v>15</v>
      </c>
      <c r="I18" s="11" t="s">
        <v>16</v>
      </c>
      <c r="J18" s="11" t="s">
        <v>15</v>
      </c>
    </row>
    <row r="19" spans="1:10" s="10" customFormat="1" ht="24.75" customHeight="1" x14ac:dyDescent="0.3">
      <c r="A19" s="11" t="s">
        <v>87</v>
      </c>
      <c r="B19" s="12" t="s">
        <v>88</v>
      </c>
      <c r="C19" s="12" t="s">
        <v>89</v>
      </c>
      <c r="D19" s="13" t="s">
        <v>90</v>
      </c>
      <c r="E19" s="14" t="s">
        <v>91</v>
      </c>
      <c r="F19" s="15">
        <v>2021</v>
      </c>
      <c r="G19" s="11" t="s">
        <v>15</v>
      </c>
      <c r="H19" s="11" t="s">
        <v>15</v>
      </c>
      <c r="I19" s="11" t="s">
        <v>16</v>
      </c>
      <c r="J19" s="11" t="s">
        <v>15</v>
      </c>
    </row>
    <row r="20" spans="1:10" s="10" customFormat="1" ht="24.75" customHeight="1" x14ac:dyDescent="0.3">
      <c r="A20" s="11" t="s">
        <v>92</v>
      </c>
      <c r="B20" s="12" t="s">
        <v>18</v>
      </c>
      <c r="C20" s="12" t="s">
        <v>93</v>
      </c>
      <c r="D20" s="13" t="s">
        <v>94</v>
      </c>
      <c r="E20" s="14" t="s">
        <v>95</v>
      </c>
      <c r="F20" s="15">
        <v>2021</v>
      </c>
      <c r="G20" s="13" t="s">
        <v>52</v>
      </c>
      <c r="H20" s="13" t="s">
        <v>52</v>
      </c>
      <c r="I20" s="11" t="s">
        <v>16</v>
      </c>
      <c r="J20" s="11" t="s">
        <v>52</v>
      </c>
    </row>
    <row r="21" spans="1:10" s="10" customFormat="1" ht="24.75" customHeight="1" x14ac:dyDescent="0.3">
      <c r="A21" s="11" t="s">
        <v>96</v>
      </c>
      <c r="B21" s="12" t="s">
        <v>44</v>
      </c>
      <c r="C21" s="12" t="s">
        <v>97</v>
      </c>
      <c r="D21" s="13" t="s">
        <v>98</v>
      </c>
      <c r="E21" s="14" t="s">
        <v>99</v>
      </c>
      <c r="F21" s="15">
        <v>2019</v>
      </c>
      <c r="G21" s="11" t="s">
        <v>15</v>
      </c>
      <c r="H21" s="11" t="s">
        <v>15</v>
      </c>
      <c r="I21" s="11" t="s">
        <v>16</v>
      </c>
      <c r="J21" s="11" t="s">
        <v>15</v>
      </c>
    </row>
    <row r="22" spans="1:10" s="10" customFormat="1" ht="24.75" customHeight="1" x14ac:dyDescent="0.3">
      <c r="A22" s="11" t="s">
        <v>100</v>
      </c>
      <c r="B22" s="12" t="s">
        <v>23</v>
      </c>
      <c r="C22" s="12" t="s">
        <v>101</v>
      </c>
      <c r="D22" s="16" t="s">
        <v>102</v>
      </c>
      <c r="E22" s="17" t="s">
        <v>103</v>
      </c>
      <c r="F22" s="15">
        <v>2025</v>
      </c>
      <c r="G22" s="13" t="s">
        <v>15</v>
      </c>
      <c r="H22" s="13" t="s">
        <v>15</v>
      </c>
      <c r="I22" s="11" t="s">
        <v>16</v>
      </c>
      <c r="J22" s="11" t="s">
        <v>15</v>
      </c>
    </row>
    <row r="23" spans="1:10" s="10" customFormat="1" ht="24.75" customHeight="1" x14ac:dyDescent="0.3">
      <c r="A23" s="11" t="s">
        <v>104</v>
      </c>
      <c r="B23" s="12" t="s">
        <v>67</v>
      </c>
      <c r="C23" s="12" t="s">
        <v>105</v>
      </c>
      <c r="D23" s="13" t="s">
        <v>106</v>
      </c>
      <c r="E23" s="14" t="s">
        <v>107</v>
      </c>
      <c r="F23" s="15">
        <v>2014</v>
      </c>
      <c r="G23" s="11" t="s">
        <v>15</v>
      </c>
      <c r="H23" s="11" t="s">
        <v>15</v>
      </c>
      <c r="I23" s="11" t="s">
        <v>16</v>
      </c>
      <c r="J23" s="11" t="s">
        <v>15</v>
      </c>
    </row>
    <row r="24" spans="1:10" s="10" customFormat="1" ht="24.75" customHeight="1" x14ac:dyDescent="0.3">
      <c r="A24" s="11" t="s">
        <v>108</v>
      </c>
      <c r="B24" s="12" t="s">
        <v>67</v>
      </c>
      <c r="C24" s="12" t="s">
        <v>109</v>
      </c>
      <c r="D24" s="13" t="s">
        <v>110</v>
      </c>
      <c r="E24" s="14" t="s">
        <v>111</v>
      </c>
      <c r="F24" s="15">
        <v>2014</v>
      </c>
      <c r="G24" s="11" t="s">
        <v>15</v>
      </c>
      <c r="H24" s="11" t="s">
        <v>15</v>
      </c>
      <c r="I24" s="11" t="s">
        <v>16</v>
      </c>
      <c r="J24" s="11" t="s">
        <v>15</v>
      </c>
    </row>
    <row r="25" spans="1:10" s="10" customFormat="1" ht="24.75" customHeight="1" x14ac:dyDescent="0.3">
      <c r="A25" s="11" t="s">
        <v>112</v>
      </c>
      <c r="B25" s="12" t="s">
        <v>67</v>
      </c>
      <c r="C25" s="12" t="s">
        <v>113</v>
      </c>
      <c r="D25" s="13" t="s">
        <v>114</v>
      </c>
      <c r="E25" s="14" t="s">
        <v>115</v>
      </c>
      <c r="F25" s="15">
        <v>2022</v>
      </c>
      <c r="G25" s="11" t="s">
        <v>15</v>
      </c>
      <c r="H25" s="11" t="s">
        <v>15</v>
      </c>
      <c r="I25" s="11" t="s">
        <v>16</v>
      </c>
      <c r="J25" s="11" t="s">
        <v>15</v>
      </c>
    </row>
    <row r="26" spans="1:10" s="10" customFormat="1" ht="24.75" customHeight="1" x14ac:dyDescent="0.3">
      <c r="A26" s="11" t="s">
        <v>116</v>
      </c>
      <c r="B26" s="12" t="s">
        <v>67</v>
      </c>
      <c r="C26" s="12" t="s">
        <v>117</v>
      </c>
      <c r="D26" s="13" t="s">
        <v>118</v>
      </c>
      <c r="E26" s="14" t="s">
        <v>119</v>
      </c>
      <c r="F26" s="15">
        <v>2023</v>
      </c>
      <c r="G26" s="11" t="s">
        <v>15</v>
      </c>
      <c r="H26" s="11" t="s">
        <v>15</v>
      </c>
      <c r="I26" s="11" t="s">
        <v>16</v>
      </c>
      <c r="J26" s="11" t="s">
        <v>15</v>
      </c>
    </row>
    <row r="27" spans="1:10" s="10" customFormat="1" ht="24.75" customHeight="1" x14ac:dyDescent="0.3">
      <c r="A27" s="11" t="s">
        <v>120</v>
      </c>
      <c r="B27" s="12" t="s">
        <v>23</v>
      </c>
      <c r="C27" s="12" t="s">
        <v>121</v>
      </c>
      <c r="D27" s="13" t="s">
        <v>122</v>
      </c>
      <c r="E27" s="14" t="s">
        <v>123</v>
      </c>
      <c r="F27" s="15">
        <v>2020</v>
      </c>
      <c r="G27" s="13" t="s">
        <v>52</v>
      </c>
      <c r="H27" s="13" t="s">
        <v>15</v>
      </c>
      <c r="I27" s="11" t="s">
        <v>53</v>
      </c>
      <c r="J27" s="11" t="s">
        <v>52</v>
      </c>
    </row>
    <row r="28" spans="1:10" s="10" customFormat="1" ht="24.75" customHeight="1" x14ac:dyDescent="0.3">
      <c r="A28" s="11" t="s">
        <v>124</v>
      </c>
      <c r="B28" s="12" t="s">
        <v>67</v>
      </c>
      <c r="C28" s="12" t="s">
        <v>125</v>
      </c>
      <c r="D28" s="13" t="s">
        <v>126</v>
      </c>
      <c r="E28" s="14" t="s">
        <v>127</v>
      </c>
      <c r="F28" s="15">
        <v>2022</v>
      </c>
      <c r="G28" s="11" t="s">
        <v>15</v>
      </c>
      <c r="H28" s="11" t="s">
        <v>15</v>
      </c>
      <c r="I28" s="11" t="s">
        <v>16</v>
      </c>
      <c r="J28" s="11" t="s">
        <v>15</v>
      </c>
    </row>
    <row r="29" spans="1:10" s="10" customFormat="1" ht="24.75" customHeight="1" x14ac:dyDescent="0.3">
      <c r="A29" s="11" t="s">
        <v>128</v>
      </c>
      <c r="B29" s="12" t="s">
        <v>67</v>
      </c>
      <c r="C29" s="12" t="s">
        <v>129</v>
      </c>
      <c r="D29" s="13" t="s">
        <v>130</v>
      </c>
      <c r="E29" s="14" t="s">
        <v>131</v>
      </c>
      <c r="F29" s="15">
        <v>2024</v>
      </c>
      <c r="G29" s="11" t="s">
        <v>15</v>
      </c>
      <c r="H29" s="11" t="s">
        <v>15</v>
      </c>
      <c r="I29" s="11" t="s">
        <v>16</v>
      </c>
      <c r="J29" s="11" t="s">
        <v>15</v>
      </c>
    </row>
    <row r="30" spans="1:10" s="10" customFormat="1" ht="24.75" customHeight="1" x14ac:dyDescent="0.3">
      <c r="A30" s="11" t="s">
        <v>132</v>
      </c>
      <c r="B30" s="12" t="s">
        <v>23</v>
      </c>
      <c r="C30" s="12" t="s">
        <v>101</v>
      </c>
      <c r="D30" s="13" t="s">
        <v>133</v>
      </c>
      <c r="E30" s="14" t="s">
        <v>134</v>
      </c>
      <c r="F30" s="15">
        <v>2025</v>
      </c>
      <c r="G30" s="13" t="s">
        <v>52</v>
      </c>
      <c r="H30" s="13" t="s">
        <v>52</v>
      </c>
      <c r="I30" s="11" t="s">
        <v>16</v>
      </c>
      <c r="J30" s="11" t="s">
        <v>52</v>
      </c>
    </row>
    <row r="31" spans="1:10" s="10" customFormat="1" ht="24.75" customHeight="1" x14ac:dyDescent="0.3">
      <c r="A31" s="11" t="s">
        <v>135</v>
      </c>
      <c r="B31" s="12" t="s">
        <v>44</v>
      </c>
      <c r="C31" s="12" t="s">
        <v>136</v>
      </c>
      <c r="D31" s="13" t="s">
        <v>137</v>
      </c>
      <c r="E31" s="14" t="s">
        <v>138</v>
      </c>
      <c r="F31" s="15">
        <v>2023</v>
      </c>
      <c r="G31" s="11" t="s">
        <v>15</v>
      </c>
      <c r="H31" s="11" t="s">
        <v>15</v>
      </c>
      <c r="I31" s="11" t="s">
        <v>16</v>
      </c>
      <c r="J31" s="11" t="s">
        <v>15</v>
      </c>
    </row>
    <row r="32" spans="1:10" s="10" customFormat="1" ht="24.75" customHeight="1" x14ac:dyDescent="0.3">
      <c r="A32" s="11" t="s">
        <v>139</v>
      </c>
      <c r="B32" s="12" t="s">
        <v>44</v>
      </c>
      <c r="C32" s="12" t="s">
        <v>140</v>
      </c>
      <c r="D32" s="13" t="s">
        <v>141</v>
      </c>
      <c r="E32" s="14" t="s">
        <v>142</v>
      </c>
      <c r="F32" s="15">
        <v>2025</v>
      </c>
      <c r="G32" s="11" t="s">
        <v>15</v>
      </c>
      <c r="H32" s="11" t="s">
        <v>15</v>
      </c>
      <c r="I32" s="11" t="s">
        <v>16</v>
      </c>
      <c r="J32" s="11" t="s">
        <v>15</v>
      </c>
    </row>
    <row r="33" spans="1:10" s="10" customFormat="1" ht="24.75" customHeight="1" x14ac:dyDescent="0.3">
      <c r="A33" s="11" t="s">
        <v>143</v>
      </c>
      <c r="B33" s="12" t="s">
        <v>23</v>
      </c>
      <c r="C33" s="12" t="s">
        <v>144</v>
      </c>
      <c r="D33" s="13" t="s">
        <v>145</v>
      </c>
      <c r="E33" s="14" t="s">
        <v>146</v>
      </c>
      <c r="F33" s="15">
        <v>2023</v>
      </c>
      <c r="G33" s="11" t="s">
        <v>15</v>
      </c>
      <c r="H33" s="11" t="s">
        <v>15</v>
      </c>
      <c r="I33" s="11" t="s">
        <v>16</v>
      </c>
      <c r="J33" s="11" t="s">
        <v>15</v>
      </c>
    </row>
    <row r="34" spans="1:10" s="10" customFormat="1" ht="24.75" customHeight="1" x14ac:dyDescent="0.3">
      <c r="A34" s="11" t="s">
        <v>147</v>
      </c>
      <c r="B34" s="12" t="s">
        <v>23</v>
      </c>
      <c r="C34" s="12" t="s">
        <v>148</v>
      </c>
      <c r="D34" s="13" t="s">
        <v>149</v>
      </c>
      <c r="E34" s="14" t="s">
        <v>150</v>
      </c>
      <c r="F34" s="15">
        <v>2022</v>
      </c>
      <c r="G34" s="11" t="s">
        <v>15</v>
      </c>
      <c r="H34" s="11" t="s">
        <v>15</v>
      </c>
      <c r="I34" s="11" t="s">
        <v>16</v>
      </c>
      <c r="J34" s="11" t="s">
        <v>15</v>
      </c>
    </row>
    <row r="35" spans="1:10" s="10" customFormat="1" ht="24.75" customHeight="1" x14ac:dyDescent="0.3">
      <c r="A35" s="11" t="s">
        <v>151</v>
      </c>
      <c r="B35" s="12" t="s">
        <v>23</v>
      </c>
      <c r="C35" s="12" t="s">
        <v>152</v>
      </c>
      <c r="D35" s="13" t="s">
        <v>153</v>
      </c>
      <c r="E35" s="14" t="s">
        <v>154</v>
      </c>
      <c r="F35" s="15">
        <v>2021</v>
      </c>
      <c r="G35" s="11" t="s">
        <v>15</v>
      </c>
      <c r="H35" s="11" t="s">
        <v>15</v>
      </c>
      <c r="I35" s="11" t="s">
        <v>16</v>
      </c>
      <c r="J35" s="11" t="s">
        <v>15</v>
      </c>
    </row>
    <row r="36" spans="1:10" s="10" customFormat="1" ht="24.75" customHeight="1" x14ac:dyDescent="0.3">
      <c r="A36" s="11" t="s">
        <v>155</v>
      </c>
      <c r="B36" s="12" t="s">
        <v>23</v>
      </c>
      <c r="C36" s="12" t="s">
        <v>156</v>
      </c>
      <c r="D36" s="16" t="s">
        <v>157</v>
      </c>
      <c r="E36" s="14"/>
      <c r="F36" s="15">
        <v>2020</v>
      </c>
      <c r="G36" s="11" t="s">
        <v>52</v>
      </c>
      <c r="H36" s="11" t="s">
        <v>52</v>
      </c>
      <c r="I36" s="11" t="s">
        <v>16</v>
      </c>
      <c r="J36" s="11" t="s">
        <v>52</v>
      </c>
    </row>
    <row r="37" spans="1:10" s="10" customFormat="1" ht="24.75" customHeight="1" x14ac:dyDescent="0.3">
      <c r="A37" s="11" t="s">
        <v>158</v>
      </c>
      <c r="B37" s="12" t="s">
        <v>67</v>
      </c>
      <c r="C37" s="12" t="s">
        <v>159</v>
      </c>
      <c r="D37" s="13" t="s">
        <v>160</v>
      </c>
      <c r="E37" s="14" t="s">
        <v>161</v>
      </c>
      <c r="F37" s="15">
        <v>2007</v>
      </c>
      <c r="G37" s="11" t="s">
        <v>15</v>
      </c>
      <c r="H37" s="11" t="s">
        <v>15</v>
      </c>
      <c r="I37" s="11" t="s">
        <v>16</v>
      </c>
      <c r="J37" s="11" t="s">
        <v>15</v>
      </c>
    </row>
    <row r="38" spans="1:10" s="10" customFormat="1" ht="24.75" customHeight="1" x14ac:dyDescent="0.3">
      <c r="A38" s="11" t="s">
        <v>162</v>
      </c>
      <c r="B38" s="12" t="s">
        <v>23</v>
      </c>
      <c r="C38" s="12" t="s">
        <v>163</v>
      </c>
      <c r="D38" s="16" t="s">
        <v>164</v>
      </c>
      <c r="E38" s="14"/>
      <c r="F38" s="15">
        <v>2010</v>
      </c>
      <c r="G38" s="11" t="s">
        <v>52</v>
      </c>
      <c r="H38" s="11" t="s">
        <v>52</v>
      </c>
      <c r="I38" s="11" t="s">
        <v>16</v>
      </c>
      <c r="J38" s="11" t="s">
        <v>52</v>
      </c>
    </row>
    <row r="39" spans="1:10" s="10" customFormat="1" ht="24.75" customHeight="1" x14ac:dyDescent="0.3">
      <c r="A39" s="11" t="s">
        <v>165</v>
      </c>
      <c r="B39" s="12" t="s">
        <v>23</v>
      </c>
      <c r="C39" s="12" t="s">
        <v>159</v>
      </c>
      <c r="D39" s="13" t="s">
        <v>166</v>
      </c>
      <c r="E39" s="14" t="s">
        <v>167</v>
      </c>
      <c r="F39" s="15">
        <v>2012</v>
      </c>
      <c r="G39" s="11" t="s">
        <v>15</v>
      </c>
      <c r="H39" s="11" t="s">
        <v>15</v>
      </c>
      <c r="I39" s="11" t="s">
        <v>16</v>
      </c>
      <c r="J39" s="11" t="s">
        <v>15</v>
      </c>
    </row>
    <row r="40" spans="1:10" s="10" customFormat="1" ht="24.75" customHeight="1" x14ac:dyDescent="0.3">
      <c r="A40" s="11" t="s">
        <v>168</v>
      </c>
      <c r="B40" s="12" t="s">
        <v>23</v>
      </c>
      <c r="C40" s="12" t="s">
        <v>169</v>
      </c>
      <c r="D40" s="13" t="s">
        <v>170</v>
      </c>
      <c r="E40" s="14" t="s">
        <v>171</v>
      </c>
      <c r="F40" s="15">
        <v>2020</v>
      </c>
      <c r="G40" s="11" t="s">
        <v>15</v>
      </c>
      <c r="H40" s="11" t="s">
        <v>15</v>
      </c>
      <c r="I40" s="11" t="s">
        <v>16</v>
      </c>
      <c r="J40" s="11" t="s">
        <v>15</v>
      </c>
    </row>
    <row r="41" spans="1:10" s="10" customFormat="1" ht="24.75" customHeight="1" x14ac:dyDescent="0.3">
      <c r="A41" s="11" t="s">
        <v>172</v>
      </c>
      <c r="B41" s="12" t="s">
        <v>67</v>
      </c>
      <c r="C41" s="12" t="s">
        <v>173</v>
      </c>
      <c r="D41" s="13" t="s">
        <v>174</v>
      </c>
      <c r="E41" s="16"/>
      <c r="F41" s="18"/>
      <c r="G41" s="13" t="s">
        <v>52</v>
      </c>
      <c r="H41" s="13" t="s">
        <v>52</v>
      </c>
      <c r="I41" s="11" t="s">
        <v>16</v>
      </c>
      <c r="J41" s="11" t="s">
        <v>52</v>
      </c>
    </row>
    <row r="42" spans="1:10" s="10" customFormat="1" ht="24.75" customHeight="1" x14ac:dyDescent="0.3">
      <c r="A42" s="11" t="s">
        <v>175</v>
      </c>
      <c r="B42" s="12" t="s">
        <v>23</v>
      </c>
      <c r="C42" s="12" t="s">
        <v>176</v>
      </c>
      <c r="D42" s="13" t="s">
        <v>177</v>
      </c>
      <c r="E42" s="14" t="s">
        <v>178</v>
      </c>
      <c r="F42" s="15">
        <v>2022</v>
      </c>
      <c r="G42" s="11" t="s">
        <v>15</v>
      </c>
      <c r="H42" s="11" t="s">
        <v>15</v>
      </c>
      <c r="I42" s="11" t="s">
        <v>16</v>
      </c>
      <c r="J42" s="11" t="s">
        <v>15</v>
      </c>
    </row>
    <row r="43" spans="1:10" s="10" customFormat="1" ht="24.75" customHeight="1" x14ac:dyDescent="0.3">
      <c r="A43" s="11" t="s">
        <v>179</v>
      </c>
      <c r="B43" s="12" t="s">
        <v>23</v>
      </c>
      <c r="C43" s="12" t="s">
        <v>180</v>
      </c>
      <c r="D43" s="13" t="s">
        <v>181</v>
      </c>
      <c r="E43" s="14" t="s">
        <v>182</v>
      </c>
      <c r="F43" s="15">
        <v>2015</v>
      </c>
      <c r="G43" s="11" t="s">
        <v>15</v>
      </c>
      <c r="H43" s="11" t="s">
        <v>15</v>
      </c>
      <c r="I43" s="11" t="s">
        <v>16</v>
      </c>
      <c r="J43" s="11" t="s">
        <v>15</v>
      </c>
    </row>
    <row r="44" spans="1:10" s="10" customFormat="1" ht="24.75" customHeight="1" x14ac:dyDescent="0.3">
      <c r="A44" s="11" t="s">
        <v>183</v>
      </c>
      <c r="B44" s="12" t="s">
        <v>23</v>
      </c>
      <c r="C44" s="12" t="s">
        <v>184</v>
      </c>
      <c r="D44" s="13" t="s">
        <v>185</v>
      </c>
      <c r="E44" s="14" t="s">
        <v>186</v>
      </c>
      <c r="F44" s="15">
        <v>2024</v>
      </c>
      <c r="G44" s="11" t="s">
        <v>15</v>
      </c>
      <c r="H44" s="11" t="s">
        <v>15</v>
      </c>
      <c r="I44" s="11" t="s">
        <v>16</v>
      </c>
      <c r="J44" s="11" t="s">
        <v>15</v>
      </c>
    </row>
    <row r="45" spans="1:10" s="10" customFormat="1" ht="24.75" customHeight="1" x14ac:dyDescent="0.3">
      <c r="A45" s="11" t="s">
        <v>187</v>
      </c>
      <c r="B45" s="12" t="s">
        <v>23</v>
      </c>
      <c r="C45" s="12" t="s">
        <v>188</v>
      </c>
      <c r="D45" s="13" t="s">
        <v>189</v>
      </c>
      <c r="E45" s="14" t="s">
        <v>190</v>
      </c>
      <c r="F45" s="15">
        <v>2023</v>
      </c>
      <c r="G45" s="13" t="s">
        <v>52</v>
      </c>
      <c r="H45" s="13" t="s">
        <v>52</v>
      </c>
      <c r="I45" s="11" t="s">
        <v>16</v>
      </c>
      <c r="J45" s="11" t="s">
        <v>52</v>
      </c>
    </row>
    <row r="46" spans="1:10" s="10" customFormat="1" ht="24.75" customHeight="1" x14ac:dyDescent="0.3">
      <c r="A46" s="11" t="s">
        <v>191</v>
      </c>
      <c r="B46" s="12" t="s">
        <v>23</v>
      </c>
      <c r="C46" s="12" t="s">
        <v>192</v>
      </c>
      <c r="D46" s="13" t="s">
        <v>193</v>
      </c>
      <c r="E46" s="14" t="s">
        <v>194</v>
      </c>
      <c r="F46" s="15">
        <v>2017</v>
      </c>
      <c r="G46" s="11" t="s">
        <v>15</v>
      </c>
      <c r="H46" s="11" t="s">
        <v>15</v>
      </c>
      <c r="I46" s="11" t="s">
        <v>16</v>
      </c>
      <c r="J46" s="11" t="s">
        <v>15</v>
      </c>
    </row>
    <row r="47" spans="1:10" s="10" customFormat="1" ht="24.75" customHeight="1" x14ac:dyDescent="0.3">
      <c r="A47" s="11" t="s">
        <v>195</v>
      </c>
      <c r="B47" s="12" t="s">
        <v>67</v>
      </c>
      <c r="C47" s="12" t="s">
        <v>196</v>
      </c>
      <c r="D47" s="13" t="s">
        <v>197</v>
      </c>
      <c r="E47" s="14" t="s">
        <v>198</v>
      </c>
      <c r="F47" s="15">
        <v>2021</v>
      </c>
      <c r="G47" s="11" t="s">
        <v>15</v>
      </c>
      <c r="H47" s="11" t="s">
        <v>15</v>
      </c>
      <c r="I47" s="11" t="s">
        <v>16</v>
      </c>
      <c r="J47" s="11" t="s">
        <v>15</v>
      </c>
    </row>
    <row r="48" spans="1:10" s="10" customFormat="1" ht="24.75" customHeight="1" x14ac:dyDescent="0.3">
      <c r="A48" s="11" t="s">
        <v>199</v>
      </c>
      <c r="B48" s="12" t="s">
        <v>67</v>
      </c>
      <c r="C48" s="12" t="s">
        <v>200</v>
      </c>
      <c r="D48" s="13" t="s">
        <v>201</v>
      </c>
      <c r="E48" s="14" t="s">
        <v>202</v>
      </c>
      <c r="F48" s="15">
        <v>2025</v>
      </c>
      <c r="G48" s="11" t="s">
        <v>15</v>
      </c>
      <c r="H48" s="11" t="s">
        <v>15</v>
      </c>
      <c r="I48" s="11" t="s">
        <v>16</v>
      </c>
      <c r="J48" s="11" t="s">
        <v>15</v>
      </c>
    </row>
    <row r="49" spans="1:10" s="10" customFormat="1" ht="24.75" customHeight="1" x14ac:dyDescent="0.3">
      <c r="A49" s="11" t="s">
        <v>203</v>
      </c>
      <c r="B49" s="12" t="s">
        <v>67</v>
      </c>
      <c r="C49" s="12" t="s">
        <v>101</v>
      </c>
      <c r="D49" s="13" t="s">
        <v>204</v>
      </c>
      <c r="E49" s="14" t="s">
        <v>205</v>
      </c>
      <c r="F49" s="15">
        <v>2024</v>
      </c>
      <c r="G49" s="11" t="s">
        <v>15</v>
      </c>
      <c r="H49" s="11" t="s">
        <v>15</v>
      </c>
      <c r="I49" s="11" t="s">
        <v>16</v>
      </c>
      <c r="J49" s="11" t="s">
        <v>15</v>
      </c>
    </row>
    <row r="50" spans="1:10" s="10" customFormat="1" ht="24.75" customHeight="1" x14ac:dyDescent="0.3">
      <c r="A50" s="11" t="s">
        <v>206</v>
      </c>
      <c r="B50" s="12" t="s">
        <v>23</v>
      </c>
      <c r="C50" s="12" t="s">
        <v>207</v>
      </c>
      <c r="D50" s="13" t="s">
        <v>208</v>
      </c>
      <c r="E50" s="14" t="s">
        <v>209</v>
      </c>
      <c r="F50" s="15">
        <v>2021</v>
      </c>
      <c r="G50" s="11" t="s">
        <v>15</v>
      </c>
      <c r="H50" s="11" t="s">
        <v>52</v>
      </c>
      <c r="I50" s="11" t="s">
        <v>53</v>
      </c>
      <c r="J50" s="11" t="s">
        <v>15</v>
      </c>
    </row>
    <row r="51" spans="1:10" s="10" customFormat="1" ht="24.75" customHeight="1" x14ac:dyDescent="0.3">
      <c r="A51" s="11" t="s">
        <v>210</v>
      </c>
      <c r="B51" s="12" t="s">
        <v>23</v>
      </c>
      <c r="C51" s="12" t="s">
        <v>211</v>
      </c>
      <c r="D51" s="13" t="s">
        <v>212</v>
      </c>
      <c r="E51" s="14" t="s">
        <v>213</v>
      </c>
      <c r="F51" s="15">
        <v>2023</v>
      </c>
      <c r="G51" s="13" t="s">
        <v>52</v>
      </c>
      <c r="H51" s="13" t="s">
        <v>15</v>
      </c>
      <c r="I51" s="11" t="s">
        <v>53</v>
      </c>
      <c r="J51" s="11" t="s">
        <v>52</v>
      </c>
    </row>
    <row r="52" spans="1:10" s="10" customFormat="1" ht="24.75" customHeight="1" x14ac:dyDescent="0.3">
      <c r="A52" s="11" t="s">
        <v>214</v>
      </c>
      <c r="B52" s="12" t="s">
        <v>18</v>
      </c>
      <c r="C52" s="12" t="s">
        <v>215</v>
      </c>
      <c r="D52" s="13" t="s">
        <v>216</v>
      </c>
      <c r="E52" s="14" t="s">
        <v>217</v>
      </c>
      <c r="F52" s="15">
        <v>2020</v>
      </c>
      <c r="G52" s="13" t="s">
        <v>52</v>
      </c>
      <c r="H52" s="13" t="s">
        <v>52</v>
      </c>
      <c r="I52" s="11" t="s">
        <v>16</v>
      </c>
      <c r="J52" s="11" t="s">
        <v>52</v>
      </c>
    </row>
    <row r="53" spans="1:10" s="10" customFormat="1" ht="24.75" customHeight="1" x14ac:dyDescent="0.3">
      <c r="A53" s="11" t="s">
        <v>218</v>
      </c>
      <c r="B53" s="12" t="s">
        <v>67</v>
      </c>
      <c r="C53" s="12" t="s">
        <v>219</v>
      </c>
      <c r="D53" s="13" t="s">
        <v>220</v>
      </c>
      <c r="E53" s="14" t="s">
        <v>221</v>
      </c>
      <c r="F53" s="15">
        <v>2024</v>
      </c>
      <c r="G53" s="13" t="s">
        <v>52</v>
      </c>
      <c r="H53" s="13" t="s">
        <v>52</v>
      </c>
      <c r="I53" s="11" t="s">
        <v>16</v>
      </c>
      <c r="J53" s="11" t="s">
        <v>52</v>
      </c>
    </row>
    <row r="54" spans="1:10" s="10" customFormat="1" ht="24.75" customHeight="1" x14ac:dyDescent="0.3">
      <c r="A54" s="11" t="s">
        <v>222</v>
      </c>
      <c r="B54" s="12" t="s">
        <v>67</v>
      </c>
      <c r="C54" s="12" t="s">
        <v>223</v>
      </c>
      <c r="D54" s="13" t="s">
        <v>224</v>
      </c>
      <c r="E54" s="14" t="s">
        <v>225</v>
      </c>
      <c r="F54" s="15">
        <v>2026</v>
      </c>
      <c r="G54" s="13" t="s">
        <v>52</v>
      </c>
      <c r="H54" s="13" t="s">
        <v>52</v>
      </c>
      <c r="I54" s="11" t="s">
        <v>16</v>
      </c>
      <c r="J54" s="11" t="s">
        <v>52</v>
      </c>
    </row>
    <row r="55" spans="1:10" s="10" customFormat="1" ht="24.75" customHeight="1" x14ac:dyDescent="0.3">
      <c r="A55" s="11" t="s">
        <v>226</v>
      </c>
      <c r="B55" s="12" t="s">
        <v>23</v>
      </c>
      <c r="C55" s="12" t="s">
        <v>227</v>
      </c>
      <c r="D55" s="13" t="s">
        <v>228</v>
      </c>
      <c r="E55" s="14" t="s">
        <v>229</v>
      </c>
      <c r="F55" s="15">
        <v>2021</v>
      </c>
      <c r="G55" s="11" t="s">
        <v>15</v>
      </c>
      <c r="H55" s="11" t="s">
        <v>15</v>
      </c>
      <c r="I55" s="11" t="s">
        <v>16</v>
      </c>
      <c r="J55" s="11" t="s">
        <v>15</v>
      </c>
    </row>
    <row r="56" spans="1:10" s="10" customFormat="1" ht="24.75" customHeight="1" x14ac:dyDescent="0.3">
      <c r="A56" s="11" t="s">
        <v>230</v>
      </c>
      <c r="B56" s="12" t="s">
        <v>88</v>
      </c>
      <c r="C56" s="12" t="s">
        <v>231</v>
      </c>
      <c r="D56" s="13" t="s">
        <v>232</v>
      </c>
      <c r="E56" s="14" t="s">
        <v>233</v>
      </c>
      <c r="F56" s="15">
        <v>2024</v>
      </c>
      <c r="G56" s="13" t="s">
        <v>52</v>
      </c>
      <c r="H56" s="13" t="s">
        <v>52</v>
      </c>
      <c r="I56" s="11" t="s">
        <v>16</v>
      </c>
      <c r="J56" s="11" t="s">
        <v>52</v>
      </c>
    </row>
    <row r="57" spans="1:10" s="10" customFormat="1" ht="24.75" customHeight="1" x14ac:dyDescent="0.3">
      <c r="A57" s="11" t="s">
        <v>234</v>
      </c>
      <c r="B57" s="12" t="s">
        <v>23</v>
      </c>
      <c r="C57" s="12" t="s">
        <v>235</v>
      </c>
      <c r="D57" s="13" t="s">
        <v>236</v>
      </c>
      <c r="E57" s="14" t="s">
        <v>237</v>
      </c>
      <c r="F57" s="15">
        <v>2023</v>
      </c>
      <c r="G57" s="11" t="s">
        <v>15</v>
      </c>
      <c r="H57" s="11" t="s">
        <v>15</v>
      </c>
      <c r="I57" s="11" t="s">
        <v>16</v>
      </c>
      <c r="J57" s="11" t="s">
        <v>15</v>
      </c>
    </row>
    <row r="58" spans="1:10" s="10" customFormat="1" ht="24.75" customHeight="1" x14ac:dyDescent="0.3">
      <c r="A58" s="11" t="s">
        <v>238</v>
      </c>
      <c r="B58" s="12" t="s">
        <v>23</v>
      </c>
      <c r="C58" s="12" t="s">
        <v>239</v>
      </c>
      <c r="D58" s="13" t="s">
        <v>240</v>
      </c>
      <c r="E58" s="14" t="s">
        <v>241</v>
      </c>
      <c r="F58" s="15">
        <v>2013</v>
      </c>
      <c r="G58" s="13" t="s">
        <v>52</v>
      </c>
      <c r="H58" s="13" t="s">
        <v>52</v>
      </c>
      <c r="I58" s="11" t="s">
        <v>16</v>
      </c>
      <c r="J58" s="11" t="s">
        <v>52</v>
      </c>
    </row>
    <row r="59" spans="1:10" s="10" customFormat="1" ht="24.75" customHeight="1" x14ac:dyDescent="0.3">
      <c r="A59" s="11" t="s">
        <v>242</v>
      </c>
      <c r="B59" s="12" t="s">
        <v>23</v>
      </c>
      <c r="C59" s="12" t="s">
        <v>243</v>
      </c>
      <c r="D59" s="13" t="s">
        <v>244</v>
      </c>
      <c r="E59" s="14" t="s">
        <v>245</v>
      </c>
      <c r="F59" s="15">
        <v>2020</v>
      </c>
      <c r="G59" s="11" t="s">
        <v>15</v>
      </c>
      <c r="H59" s="11" t="s">
        <v>15</v>
      </c>
      <c r="I59" s="11" t="s">
        <v>16</v>
      </c>
      <c r="J59" s="11" t="s">
        <v>15</v>
      </c>
    </row>
    <row r="60" spans="1:10" s="10" customFormat="1" ht="24.75" customHeight="1" x14ac:dyDescent="0.3">
      <c r="A60" s="11" t="s">
        <v>246</v>
      </c>
      <c r="B60" s="12" t="s">
        <v>23</v>
      </c>
      <c r="C60" s="12" t="s">
        <v>247</v>
      </c>
      <c r="D60" s="13" t="s">
        <v>248</v>
      </c>
      <c r="E60" s="14" t="s">
        <v>249</v>
      </c>
      <c r="F60" s="15">
        <v>2023</v>
      </c>
      <c r="G60" s="11" t="s">
        <v>15</v>
      </c>
      <c r="H60" s="11" t="s">
        <v>15</v>
      </c>
      <c r="I60" s="11" t="s">
        <v>16</v>
      </c>
      <c r="J60" s="11" t="s">
        <v>15</v>
      </c>
    </row>
    <row r="61" spans="1:10" s="10" customFormat="1" ht="24.75" customHeight="1" x14ac:dyDescent="0.3">
      <c r="A61" s="11" t="s">
        <v>250</v>
      </c>
      <c r="B61" s="12" t="s">
        <v>23</v>
      </c>
      <c r="C61" s="12" t="s">
        <v>101</v>
      </c>
      <c r="D61" s="13" t="s">
        <v>251</v>
      </c>
      <c r="E61" s="14" t="s">
        <v>252</v>
      </c>
      <c r="F61" s="15">
        <v>2010</v>
      </c>
      <c r="G61" s="11" t="s">
        <v>15</v>
      </c>
      <c r="H61" s="11" t="s">
        <v>15</v>
      </c>
      <c r="I61" s="11" t="s">
        <v>16</v>
      </c>
      <c r="J61" s="11" t="s">
        <v>15</v>
      </c>
    </row>
    <row r="62" spans="1:10" s="10" customFormat="1" ht="24.75" customHeight="1" x14ac:dyDescent="0.3">
      <c r="A62" s="11" t="s">
        <v>253</v>
      </c>
      <c r="B62" s="12" t="s">
        <v>23</v>
      </c>
      <c r="C62" s="12" t="s">
        <v>254</v>
      </c>
      <c r="D62" s="13" t="s">
        <v>255</v>
      </c>
      <c r="E62" s="14" t="s">
        <v>256</v>
      </c>
      <c r="F62" s="15">
        <v>2023</v>
      </c>
      <c r="G62" s="11" t="s">
        <v>15</v>
      </c>
      <c r="H62" s="11" t="s">
        <v>15</v>
      </c>
      <c r="I62" s="11" t="s">
        <v>16</v>
      </c>
      <c r="J62" s="11" t="s">
        <v>15</v>
      </c>
    </row>
    <row r="63" spans="1:10" s="10" customFormat="1" ht="24.75" customHeight="1" x14ac:dyDescent="0.3">
      <c r="A63" s="11" t="s">
        <v>257</v>
      </c>
      <c r="B63" s="12" t="s">
        <v>23</v>
      </c>
      <c r="C63" s="12" t="s">
        <v>101</v>
      </c>
      <c r="D63" s="13" t="s">
        <v>258</v>
      </c>
      <c r="E63" s="14" t="s">
        <v>259</v>
      </c>
      <c r="F63" s="15">
        <v>2006</v>
      </c>
      <c r="G63" s="11" t="s">
        <v>15</v>
      </c>
      <c r="H63" s="11" t="s">
        <v>52</v>
      </c>
      <c r="I63" s="11" t="s">
        <v>53</v>
      </c>
      <c r="J63" s="11" t="s">
        <v>15</v>
      </c>
    </row>
    <row r="64" spans="1:10" s="10" customFormat="1" ht="24.75" customHeight="1" x14ac:dyDescent="0.3">
      <c r="A64" s="11" t="s">
        <v>260</v>
      </c>
      <c r="B64" s="12" t="s">
        <v>23</v>
      </c>
      <c r="C64" s="12" t="s">
        <v>261</v>
      </c>
      <c r="D64" s="13" t="s">
        <v>262</v>
      </c>
      <c r="E64" s="14" t="s">
        <v>263</v>
      </c>
      <c r="F64" s="15">
        <v>2004</v>
      </c>
      <c r="G64" s="11" t="s">
        <v>15</v>
      </c>
      <c r="H64" s="11" t="s">
        <v>15</v>
      </c>
      <c r="I64" s="11" t="s">
        <v>16</v>
      </c>
      <c r="J64" s="11" t="s">
        <v>15</v>
      </c>
    </row>
    <row r="65" spans="1:10" s="10" customFormat="1" ht="24.75" customHeight="1" x14ac:dyDescent="0.3">
      <c r="A65" s="11" t="s">
        <v>264</v>
      </c>
      <c r="B65" s="12" t="s">
        <v>23</v>
      </c>
      <c r="C65" s="12" t="s">
        <v>265</v>
      </c>
      <c r="D65" s="13" t="s">
        <v>266</v>
      </c>
      <c r="E65" s="14" t="s">
        <v>267</v>
      </c>
      <c r="F65" s="15">
        <v>2025</v>
      </c>
      <c r="G65" s="13" t="s">
        <v>52</v>
      </c>
      <c r="H65" s="13" t="s">
        <v>52</v>
      </c>
      <c r="I65" s="11" t="s">
        <v>16</v>
      </c>
      <c r="J65" s="11" t="s">
        <v>52</v>
      </c>
    </row>
    <row r="66" spans="1:10" s="10" customFormat="1" ht="24.75" customHeight="1" x14ac:dyDescent="0.3">
      <c r="A66" s="11" t="s">
        <v>268</v>
      </c>
      <c r="B66" s="12" t="s">
        <v>23</v>
      </c>
      <c r="C66" s="12" t="s">
        <v>269</v>
      </c>
      <c r="D66" s="13" t="s">
        <v>270</v>
      </c>
      <c r="E66" s="14" t="s">
        <v>271</v>
      </c>
      <c r="F66" s="15">
        <v>2025</v>
      </c>
      <c r="G66" s="11" t="s">
        <v>15</v>
      </c>
      <c r="H66" s="11" t="s">
        <v>52</v>
      </c>
      <c r="I66" s="11" t="s">
        <v>53</v>
      </c>
      <c r="J66" s="11" t="s">
        <v>15</v>
      </c>
    </row>
    <row r="67" spans="1:10" s="10" customFormat="1" ht="24.75" customHeight="1" x14ac:dyDescent="0.3">
      <c r="A67" s="11" t="s">
        <v>272</v>
      </c>
      <c r="B67" s="12" t="s">
        <v>67</v>
      </c>
      <c r="C67" s="12" t="s">
        <v>273</v>
      </c>
      <c r="D67" s="13" t="s">
        <v>274</v>
      </c>
      <c r="E67" s="14" t="s">
        <v>275</v>
      </c>
      <c r="F67" s="15">
        <v>2024</v>
      </c>
      <c r="G67" s="13" t="s">
        <v>52</v>
      </c>
      <c r="H67" s="13" t="s">
        <v>52</v>
      </c>
      <c r="I67" s="11" t="s">
        <v>16</v>
      </c>
      <c r="J67" s="11" t="s">
        <v>52</v>
      </c>
    </row>
    <row r="68" spans="1:10" s="10" customFormat="1" ht="24.75" customHeight="1" x14ac:dyDescent="0.3">
      <c r="A68" s="11" t="s">
        <v>276</v>
      </c>
      <c r="B68" s="12" t="s">
        <v>23</v>
      </c>
      <c r="C68" s="12" t="s">
        <v>277</v>
      </c>
      <c r="D68" s="13" t="s">
        <v>278</v>
      </c>
      <c r="E68" s="14" t="s">
        <v>279</v>
      </c>
      <c r="F68" s="15">
        <v>2018</v>
      </c>
      <c r="G68" s="13" t="s">
        <v>52</v>
      </c>
      <c r="H68" s="13" t="s">
        <v>52</v>
      </c>
      <c r="I68" s="11" t="s">
        <v>16</v>
      </c>
      <c r="J68" s="11" t="s">
        <v>52</v>
      </c>
    </row>
    <row r="69" spans="1:10" s="10" customFormat="1" ht="24.75" customHeight="1" x14ac:dyDescent="0.3">
      <c r="A69" s="11" t="s">
        <v>280</v>
      </c>
      <c r="B69" s="12" t="s">
        <v>67</v>
      </c>
      <c r="C69" s="12" t="s">
        <v>281</v>
      </c>
      <c r="D69" s="13" t="s">
        <v>282</v>
      </c>
      <c r="E69" s="14" t="s">
        <v>283</v>
      </c>
      <c r="F69" s="15">
        <v>2021</v>
      </c>
      <c r="G69" s="13" t="s">
        <v>52</v>
      </c>
      <c r="H69" s="13" t="s">
        <v>52</v>
      </c>
      <c r="I69" s="11" t="s">
        <v>16</v>
      </c>
      <c r="J69" s="11" t="s">
        <v>52</v>
      </c>
    </row>
    <row r="70" spans="1:10" s="10" customFormat="1" ht="24.75" customHeight="1" x14ac:dyDescent="0.3">
      <c r="A70" s="11" t="s">
        <v>284</v>
      </c>
      <c r="B70" s="12" t="s">
        <v>23</v>
      </c>
      <c r="C70" s="12" t="s">
        <v>101</v>
      </c>
      <c r="D70" s="13" t="s">
        <v>285</v>
      </c>
      <c r="E70" s="14" t="s">
        <v>286</v>
      </c>
      <c r="F70" s="15">
        <v>2004</v>
      </c>
      <c r="G70" s="11" t="s">
        <v>15</v>
      </c>
      <c r="H70" s="11" t="s">
        <v>52</v>
      </c>
      <c r="I70" s="11" t="s">
        <v>53</v>
      </c>
      <c r="J70" s="11" t="s">
        <v>15</v>
      </c>
    </row>
    <row r="71" spans="1:10" s="10" customFormat="1" ht="24.75" customHeight="1" x14ac:dyDescent="0.3">
      <c r="A71" s="11" t="s">
        <v>287</v>
      </c>
      <c r="B71" s="12" t="s">
        <v>23</v>
      </c>
      <c r="C71" s="12" t="s">
        <v>288</v>
      </c>
      <c r="D71" s="19" t="s">
        <v>289</v>
      </c>
      <c r="E71" s="14" t="s">
        <v>290</v>
      </c>
      <c r="F71" s="15">
        <v>2022</v>
      </c>
      <c r="G71" s="11" t="s">
        <v>15</v>
      </c>
      <c r="H71" s="11" t="s">
        <v>15</v>
      </c>
      <c r="I71" s="11" t="s">
        <v>16</v>
      </c>
      <c r="J71" s="11" t="s">
        <v>15</v>
      </c>
    </row>
    <row r="72" spans="1:10" s="10" customFormat="1" ht="24.75" customHeight="1" x14ac:dyDescent="0.3">
      <c r="A72" s="11" t="s">
        <v>291</v>
      </c>
      <c r="B72" s="12" t="s">
        <v>67</v>
      </c>
      <c r="C72" s="12" t="s">
        <v>292</v>
      </c>
      <c r="D72" s="13" t="s">
        <v>293</v>
      </c>
      <c r="E72" s="14" t="s">
        <v>294</v>
      </c>
      <c r="F72" s="18">
        <v>2012</v>
      </c>
      <c r="G72" s="13" t="s">
        <v>52</v>
      </c>
      <c r="H72" s="13" t="s">
        <v>15</v>
      </c>
      <c r="I72" s="11" t="s">
        <v>53</v>
      </c>
      <c r="J72" s="11" t="s">
        <v>52</v>
      </c>
    </row>
    <row r="73" spans="1:10" s="10" customFormat="1" ht="24.75" customHeight="1" x14ac:dyDescent="0.3">
      <c r="A73" s="11" t="s">
        <v>295</v>
      </c>
      <c r="B73" s="12" t="s">
        <v>23</v>
      </c>
      <c r="C73" s="12" t="s">
        <v>296</v>
      </c>
      <c r="D73" s="13" t="s">
        <v>297</v>
      </c>
      <c r="E73" s="14" t="s">
        <v>298</v>
      </c>
      <c r="F73" s="15">
        <v>2025</v>
      </c>
      <c r="G73" s="11" t="s">
        <v>15</v>
      </c>
      <c r="H73" s="11" t="s">
        <v>15</v>
      </c>
      <c r="I73" s="11" t="s">
        <v>16</v>
      </c>
      <c r="J73" s="11" t="s">
        <v>15</v>
      </c>
    </row>
    <row r="74" spans="1:10" s="10" customFormat="1" ht="24.75" customHeight="1" x14ac:dyDescent="0.3">
      <c r="A74" s="11" t="s">
        <v>299</v>
      </c>
      <c r="B74" s="12" t="s">
        <v>44</v>
      </c>
      <c r="C74" s="12" t="s">
        <v>300</v>
      </c>
      <c r="D74" s="13" t="s">
        <v>301</v>
      </c>
      <c r="E74" s="14" t="s">
        <v>302</v>
      </c>
      <c r="F74" s="18"/>
      <c r="G74" s="13" t="s">
        <v>52</v>
      </c>
      <c r="H74" s="13" t="s">
        <v>15</v>
      </c>
      <c r="I74" s="11" t="s">
        <v>53</v>
      </c>
      <c r="J74" s="11" t="s">
        <v>52</v>
      </c>
    </row>
    <row r="75" spans="1:10" s="10" customFormat="1" ht="24.75" customHeight="1" x14ac:dyDescent="0.3">
      <c r="A75" s="11" t="s">
        <v>303</v>
      </c>
      <c r="B75" s="12" t="s">
        <v>67</v>
      </c>
      <c r="C75" s="12" t="s">
        <v>304</v>
      </c>
      <c r="D75" s="13" t="s">
        <v>305</v>
      </c>
      <c r="E75" s="14" t="s">
        <v>306</v>
      </c>
      <c r="F75" s="18"/>
      <c r="G75" s="13" t="s">
        <v>52</v>
      </c>
      <c r="H75" s="13" t="s">
        <v>52</v>
      </c>
      <c r="I75" s="11" t="s">
        <v>16</v>
      </c>
      <c r="J75" s="11" t="s">
        <v>52</v>
      </c>
    </row>
    <row r="76" spans="1:10" s="10" customFormat="1" ht="24.75" customHeight="1" x14ac:dyDescent="0.3">
      <c r="A76" s="11" t="s">
        <v>307</v>
      </c>
      <c r="B76" s="12" t="s">
        <v>23</v>
      </c>
      <c r="C76" s="12" t="s">
        <v>308</v>
      </c>
      <c r="D76" s="13" t="s">
        <v>309</v>
      </c>
      <c r="E76" s="14" t="s">
        <v>310</v>
      </c>
      <c r="F76" s="15">
        <v>2022</v>
      </c>
      <c r="G76" s="13" t="s">
        <v>52</v>
      </c>
      <c r="H76" s="13" t="s">
        <v>52</v>
      </c>
      <c r="I76" s="11" t="s">
        <v>16</v>
      </c>
      <c r="J76" s="11" t="s">
        <v>52</v>
      </c>
    </row>
    <row r="77" spans="1:10" s="10" customFormat="1" ht="24.75" customHeight="1" x14ac:dyDescent="0.3">
      <c r="A77" s="11" t="s">
        <v>311</v>
      </c>
      <c r="B77" s="12" t="s">
        <v>67</v>
      </c>
      <c r="C77" s="12" t="s">
        <v>312</v>
      </c>
      <c r="D77" s="13" t="s">
        <v>313</v>
      </c>
      <c r="E77" s="14" t="s">
        <v>314</v>
      </c>
      <c r="F77" s="15">
        <v>2024</v>
      </c>
      <c r="G77" s="13" t="s">
        <v>52</v>
      </c>
      <c r="H77" s="13" t="s">
        <v>52</v>
      </c>
      <c r="I77" s="11" t="s">
        <v>16</v>
      </c>
      <c r="J77" s="11" t="s">
        <v>52</v>
      </c>
    </row>
    <row r="78" spans="1:10" s="10" customFormat="1" ht="24.75" customHeight="1" x14ac:dyDescent="0.3">
      <c r="A78" s="11" t="s">
        <v>315</v>
      </c>
      <c r="B78" s="12" t="s">
        <v>23</v>
      </c>
      <c r="C78" s="12" t="s">
        <v>316</v>
      </c>
      <c r="D78" s="13" t="s">
        <v>317</v>
      </c>
      <c r="E78" s="14" t="s">
        <v>318</v>
      </c>
      <c r="F78" s="15">
        <v>2007</v>
      </c>
      <c r="G78" s="11" t="s">
        <v>15</v>
      </c>
      <c r="H78" s="11" t="s">
        <v>52</v>
      </c>
      <c r="I78" s="11" t="s">
        <v>53</v>
      </c>
      <c r="J78" s="11" t="s">
        <v>15</v>
      </c>
    </row>
    <row r="79" spans="1:10" s="10" customFormat="1" ht="24.75" customHeight="1" x14ac:dyDescent="0.3">
      <c r="A79" s="11" t="s">
        <v>319</v>
      </c>
      <c r="B79" s="12" t="s">
        <v>23</v>
      </c>
      <c r="C79" s="12" t="s">
        <v>320</v>
      </c>
      <c r="D79" s="16" t="s">
        <v>321</v>
      </c>
      <c r="E79" s="17" t="s">
        <v>322</v>
      </c>
      <c r="F79" s="15">
        <v>2020</v>
      </c>
      <c r="G79" s="13" t="s">
        <v>15</v>
      </c>
      <c r="H79" s="13" t="s">
        <v>15</v>
      </c>
      <c r="I79" s="11" t="s">
        <v>16</v>
      </c>
      <c r="J79" s="11" t="s">
        <v>15</v>
      </c>
    </row>
    <row r="80" spans="1:10" s="10" customFormat="1" ht="24.75" customHeight="1" x14ac:dyDescent="0.3">
      <c r="A80" s="11" t="s">
        <v>323</v>
      </c>
      <c r="B80" s="12" t="s">
        <v>23</v>
      </c>
      <c r="C80" s="12" t="s">
        <v>324</v>
      </c>
      <c r="D80" s="13" t="s">
        <v>325</v>
      </c>
      <c r="E80" s="14" t="s">
        <v>326</v>
      </c>
      <c r="F80" s="15">
        <v>2022</v>
      </c>
      <c r="G80" s="13" t="s">
        <v>52</v>
      </c>
      <c r="H80" s="13" t="s">
        <v>15</v>
      </c>
      <c r="I80" s="11" t="s">
        <v>53</v>
      </c>
      <c r="J80" s="11" t="s">
        <v>52</v>
      </c>
    </row>
    <row r="81" spans="1:10" s="10" customFormat="1" ht="24.75" customHeight="1" x14ac:dyDescent="0.3">
      <c r="A81" s="11" t="s">
        <v>327</v>
      </c>
      <c r="B81" s="12" t="s">
        <v>328</v>
      </c>
      <c r="C81" s="12" t="s">
        <v>329</v>
      </c>
      <c r="D81" s="13" t="s">
        <v>330</v>
      </c>
      <c r="E81" s="14" t="s">
        <v>331</v>
      </c>
      <c r="F81" s="15">
        <v>2026</v>
      </c>
      <c r="G81" s="11" t="s">
        <v>15</v>
      </c>
      <c r="H81" s="11" t="s">
        <v>15</v>
      </c>
      <c r="I81" s="11" t="s">
        <v>16</v>
      </c>
      <c r="J81" s="11" t="s">
        <v>15</v>
      </c>
    </row>
    <row r="82" spans="1:10" s="10" customFormat="1" ht="24.75" customHeight="1" x14ac:dyDescent="0.3">
      <c r="A82" s="11" t="s">
        <v>332</v>
      </c>
      <c r="B82" s="12" t="s">
        <v>23</v>
      </c>
      <c r="C82" s="12" t="s">
        <v>333</v>
      </c>
      <c r="D82" s="13" t="s">
        <v>334</v>
      </c>
      <c r="E82" s="14" t="s">
        <v>335</v>
      </c>
      <c r="F82" s="15">
        <v>2024</v>
      </c>
      <c r="G82" s="13" t="s">
        <v>52</v>
      </c>
      <c r="H82" s="13" t="s">
        <v>52</v>
      </c>
      <c r="I82" s="11" t="s">
        <v>16</v>
      </c>
      <c r="J82" s="11" t="s">
        <v>52</v>
      </c>
    </row>
    <row r="83" spans="1:10" s="10" customFormat="1" ht="24.75" customHeight="1" x14ac:dyDescent="0.3">
      <c r="A83" s="11" t="s">
        <v>336</v>
      </c>
      <c r="B83" s="12" t="s">
        <v>23</v>
      </c>
      <c r="C83" s="12" t="s">
        <v>337</v>
      </c>
      <c r="D83" s="13" t="s">
        <v>338</v>
      </c>
      <c r="E83" s="14" t="s">
        <v>339</v>
      </c>
      <c r="F83" s="15">
        <v>2020</v>
      </c>
      <c r="G83" s="11" t="s">
        <v>52</v>
      </c>
      <c r="H83" s="11" t="s">
        <v>15</v>
      </c>
      <c r="I83" s="11" t="s">
        <v>53</v>
      </c>
      <c r="J83" s="11" t="s">
        <v>15</v>
      </c>
    </row>
    <row r="84" spans="1:10" s="10" customFormat="1" ht="24.75" customHeight="1" x14ac:dyDescent="0.3">
      <c r="A84" s="11" t="s">
        <v>340</v>
      </c>
      <c r="B84" s="12" t="s">
        <v>341</v>
      </c>
      <c r="C84" s="12" t="s">
        <v>342</v>
      </c>
      <c r="D84" s="13" t="s">
        <v>343</v>
      </c>
      <c r="E84" s="14" t="s">
        <v>344</v>
      </c>
      <c r="F84" s="15">
        <v>2024</v>
      </c>
      <c r="G84" s="11" t="s">
        <v>15</v>
      </c>
      <c r="H84" s="11" t="s">
        <v>52</v>
      </c>
      <c r="I84" s="11" t="s">
        <v>53</v>
      </c>
      <c r="J84" s="11" t="s">
        <v>15</v>
      </c>
    </row>
    <row r="85" spans="1:10" s="10" customFormat="1" ht="24.75" customHeight="1" x14ac:dyDescent="0.3">
      <c r="A85" s="11" t="s">
        <v>345</v>
      </c>
      <c r="B85" s="12" t="s">
        <v>18</v>
      </c>
      <c r="C85" s="12" t="s">
        <v>346</v>
      </c>
      <c r="D85" s="13" t="s">
        <v>347</v>
      </c>
      <c r="E85" s="14" t="s">
        <v>348</v>
      </c>
      <c r="F85" s="15">
        <v>2024</v>
      </c>
      <c r="G85" s="11" t="s">
        <v>15</v>
      </c>
      <c r="H85" s="11" t="s">
        <v>15</v>
      </c>
      <c r="I85" s="11" t="s">
        <v>16</v>
      </c>
      <c r="J85" s="11" t="s">
        <v>15</v>
      </c>
    </row>
    <row r="86" spans="1:10" s="10" customFormat="1" ht="24.75" customHeight="1" x14ac:dyDescent="0.3">
      <c r="A86" s="11" t="s">
        <v>349</v>
      </c>
      <c r="B86" s="12" t="s">
        <v>67</v>
      </c>
      <c r="C86" s="12" t="s">
        <v>350</v>
      </c>
      <c r="D86" s="13" t="s">
        <v>351</v>
      </c>
      <c r="E86" s="14" t="s">
        <v>352</v>
      </c>
      <c r="F86" s="15">
        <v>2024</v>
      </c>
      <c r="G86" s="11" t="s">
        <v>15</v>
      </c>
      <c r="H86" s="11" t="s">
        <v>15</v>
      </c>
      <c r="I86" s="11" t="s">
        <v>16</v>
      </c>
      <c r="J86" s="11" t="s">
        <v>15</v>
      </c>
    </row>
    <row r="87" spans="1:10" s="10" customFormat="1" ht="24.75" customHeight="1" x14ac:dyDescent="0.3">
      <c r="A87" s="11" t="s">
        <v>353</v>
      </c>
      <c r="B87" s="12" t="s">
        <v>18</v>
      </c>
      <c r="C87" s="12" t="s">
        <v>354</v>
      </c>
      <c r="D87" s="13" t="s">
        <v>355</v>
      </c>
      <c r="E87" s="14" t="s">
        <v>356</v>
      </c>
      <c r="F87" s="15">
        <v>2020</v>
      </c>
      <c r="G87" s="11" t="s">
        <v>15</v>
      </c>
      <c r="H87" s="11" t="s">
        <v>15</v>
      </c>
      <c r="I87" s="11" t="s">
        <v>16</v>
      </c>
      <c r="J87" s="11" t="s">
        <v>15</v>
      </c>
    </row>
    <row r="88" spans="1:10" s="10" customFormat="1" ht="24.75" customHeight="1" x14ac:dyDescent="0.3">
      <c r="A88" s="11" t="s">
        <v>357</v>
      </c>
      <c r="B88" s="12" t="s">
        <v>18</v>
      </c>
      <c r="C88" s="12" t="s">
        <v>358</v>
      </c>
      <c r="D88" s="13" t="s">
        <v>359</v>
      </c>
      <c r="E88" s="14" t="s">
        <v>360</v>
      </c>
      <c r="F88" s="15">
        <v>2014</v>
      </c>
      <c r="G88" s="11" t="s">
        <v>15</v>
      </c>
      <c r="H88" s="11" t="s">
        <v>15</v>
      </c>
      <c r="I88" s="11" t="s">
        <v>16</v>
      </c>
      <c r="J88" s="11" t="s">
        <v>15</v>
      </c>
    </row>
    <row r="89" spans="1:10" s="10" customFormat="1" ht="24.75" customHeight="1" x14ac:dyDescent="0.3">
      <c r="A89" s="11" t="s">
        <v>361</v>
      </c>
      <c r="B89" s="12" t="s">
        <v>23</v>
      </c>
      <c r="C89" s="12" t="s">
        <v>362</v>
      </c>
      <c r="D89" s="13" t="s">
        <v>363</v>
      </c>
      <c r="E89" s="14" t="s">
        <v>364</v>
      </c>
      <c r="F89" s="15">
        <v>2022</v>
      </c>
      <c r="G89" s="11" t="s">
        <v>15</v>
      </c>
      <c r="H89" s="11" t="s">
        <v>15</v>
      </c>
      <c r="I89" s="11" t="s">
        <v>16</v>
      </c>
      <c r="J89" s="11" t="s">
        <v>15</v>
      </c>
    </row>
    <row r="90" spans="1:10" s="10" customFormat="1" ht="24.75" customHeight="1" x14ac:dyDescent="0.3">
      <c r="A90" s="11" t="s">
        <v>365</v>
      </c>
      <c r="B90" s="12" t="s">
        <v>23</v>
      </c>
      <c r="C90" s="12" t="s">
        <v>101</v>
      </c>
      <c r="D90" s="13" t="s">
        <v>366</v>
      </c>
      <c r="E90" s="14" t="s">
        <v>367</v>
      </c>
      <c r="F90" s="15">
        <v>2021</v>
      </c>
      <c r="G90" s="11" t="s">
        <v>15</v>
      </c>
      <c r="H90" s="11" t="s">
        <v>15</v>
      </c>
      <c r="I90" s="11" t="s">
        <v>16</v>
      </c>
      <c r="J90" s="11" t="s">
        <v>15</v>
      </c>
    </row>
    <row r="91" spans="1:10" s="10" customFormat="1" ht="24.75" customHeight="1" x14ac:dyDescent="0.3">
      <c r="A91" s="11" t="s">
        <v>368</v>
      </c>
      <c r="B91" s="12" t="s">
        <v>67</v>
      </c>
      <c r="C91" s="12" t="s">
        <v>369</v>
      </c>
      <c r="D91" s="13" t="s">
        <v>370</v>
      </c>
      <c r="E91" s="14" t="s">
        <v>371</v>
      </c>
      <c r="F91" s="15">
        <v>2024</v>
      </c>
      <c r="G91" s="11" t="s">
        <v>15</v>
      </c>
      <c r="H91" s="11" t="s">
        <v>15</v>
      </c>
      <c r="I91" s="11" t="s">
        <v>16</v>
      </c>
      <c r="J91" s="11" t="s">
        <v>15</v>
      </c>
    </row>
    <row r="92" spans="1:10" s="10" customFormat="1" ht="24.75" customHeight="1" x14ac:dyDescent="0.3">
      <c r="A92" s="11" t="s">
        <v>372</v>
      </c>
      <c r="B92" s="12" t="s">
        <v>67</v>
      </c>
      <c r="C92" s="12" t="s">
        <v>373</v>
      </c>
      <c r="D92" s="13" t="s">
        <v>374</v>
      </c>
      <c r="E92" s="14" t="s">
        <v>375</v>
      </c>
      <c r="F92" s="15">
        <v>2026</v>
      </c>
      <c r="G92" s="11" t="s">
        <v>15</v>
      </c>
      <c r="H92" s="11" t="s">
        <v>15</v>
      </c>
      <c r="I92" s="11" t="s">
        <v>16</v>
      </c>
      <c r="J92" s="11" t="s">
        <v>15</v>
      </c>
    </row>
    <row r="93" spans="1:10" s="10" customFormat="1" ht="24.75" customHeight="1" x14ac:dyDescent="0.3">
      <c r="A93" s="11" t="s">
        <v>376</v>
      </c>
      <c r="B93" s="12" t="s">
        <v>18</v>
      </c>
      <c r="C93" s="12" t="s">
        <v>377</v>
      </c>
      <c r="D93" s="13" t="s">
        <v>378</v>
      </c>
      <c r="E93" s="14" t="s">
        <v>379</v>
      </c>
      <c r="F93" s="15">
        <v>2022</v>
      </c>
      <c r="G93" s="11" t="s">
        <v>15</v>
      </c>
      <c r="H93" s="11" t="s">
        <v>15</v>
      </c>
      <c r="I93" s="11" t="s">
        <v>16</v>
      </c>
      <c r="J93" s="11" t="s">
        <v>15</v>
      </c>
    </row>
    <row r="94" spans="1:10" s="10" customFormat="1" ht="24.75" customHeight="1" x14ac:dyDescent="0.3">
      <c r="A94" s="11" t="s">
        <v>380</v>
      </c>
      <c r="B94" s="12" t="s">
        <v>18</v>
      </c>
      <c r="C94" s="12" t="s">
        <v>381</v>
      </c>
      <c r="D94" s="13" t="s">
        <v>382</v>
      </c>
      <c r="E94" s="14" t="s">
        <v>383</v>
      </c>
      <c r="F94" s="15">
        <v>2024</v>
      </c>
      <c r="G94" s="11" t="s">
        <v>15</v>
      </c>
      <c r="H94" s="11" t="s">
        <v>15</v>
      </c>
      <c r="I94" s="11" t="s">
        <v>16</v>
      </c>
      <c r="J94" s="11" t="s">
        <v>15</v>
      </c>
    </row>
    <row r="95" spans="1:10" s="10" customFormat="1" ht="24.75" customHeight="1" x14ac:dyDescent="0.3">
      <c r="A95" s="11" t="s">
        <v>384</v>
      </c>
      <c r="B95" s="12" t="s">
        <v>44</v>
      </c>
      <c r="C95" s="12" t="s">
        <v>385</v>
      </c>
      <c r="D95" s="13" t="s">
        <v>386</v>
      </c>
      <c r="E95" s="14" t="s">
        <v>387</v>
      </c>
      <c r="F95" s="15">
        <v>2019</v>
      </c>
      <c r="G95" s="11" t="s">
        <v>15</v>
      </c>
      <c r="H95" s="11" t="s">
        <v>15</v>
      </c>
      <c r="I95" s="11" t="s">
        <v>16</v>
      </c>
      <c r="J95" s="11" t="s">
        <v>15</v>
      </c>
    </row>
    <row r="96" spans="1:10" s="10" customFormat="1" ht="24.75" customHeight="1" x14ac:dyDescent="0.3">
      <c r="A96" s="11" t="s">
        <v>388</v>
      </c>
      <c r="B96" s="12" t="s">
        <v>23</v>
      </c>
      <c r="C96" s="12" t="s">
        <v>389</v>
      </c>
      <c r="D96" s="13" t="s">
        <v>390</v>
      </c>
      <c r="E96" s="14" t="s">
        <v>391</v>
      </c>
      <c r="F96" s="15">
        <v>2023</v>
      </c>
      <c r="G96" s="11" t="s">
        <v>15</v>
      </c>
      <c r="H96" s="11" t="s">
        <v>15</v>
      </c>
      <c r="I96" s="11" t="s">
        <v>16</v>
      </c>
      <c r="J96" s="11" t="s">
        <v>15</v>
      </c>
    </row>
    <row r="97" spans="1:10" s="10" customFormat="1" ht="24.75" customHeight="1" x14ac:dyDescent="0.3">
      <c r="A97" s="11" t="s">
        <v>392</v>
      </c>
      <c r="B97" s="12" t="s">
        <v>88</v>
      </c>
      <c r="C97" s="12" t="s">
        <v>393</v>
      </c>
      <c r="D97" s="13" t="s">
        <v>394</v>
      </c>
      <c r="E97" s="14" t="s">
        <v>395</v>
      </c>
      <c r="F97" s="15">
        <v>2021</v>
      </c>
      <c r="G97" s="11" t="s">
        <v>15</v>
      </c>
      <c r="H97" s="11" t="s">
        <v>15</v>
      </c>
      <c r="I97" s="11" t="s">
        <v>16</v>
      </c>
      <c r="J97" s="11" t="s">
        <v>15</v>
      </c>
    </row>
    <row r="98" spans="1:10" s="10" customFormat="1" ht="24.75" customHeight="1" x14ac:dyDescent="0.3">
      <c r="A98" s="11" t="s">
        <v>396</v>
      </c>
      <c r="B98" s="12" t="s">
        <v>23</v>
      </c>
      <c r="C98" s="12" t="s">
        <v>397</v>
      </c>
      <c r="D98" s="13" t="s">
        <v>398</v>
      </c>
      <c r="E98" s="14" t="s">
        <v>399</v>
      </c>
      <c r="F98" s="15">
        <v>2026</v>
      </c>
      <c r="G98" s="11" t="s">
        <v>15</v>
      </c>
      <c r="H98" s="11" t="s">
        <v>15</v>
      </c>
      <c r="I98" s="11" t="s">
        <v>16</v>
      </c>
      <c r="J98" s="11" t="s">
        <v>15</v>
      </c>
    </row>
    <row r="99" spans="1:10" s="10" customFormat="1" ht="24.75" customHeight="1" x14ac:dyDescent="0.3">
      <c r="A99" s="11" t="s">
        <v>400</v>
      </c>
      <c r="B99" s="12" t="s">
        <v>88</v>
      </c>
      <c r="C99" s="12" t="s">
        <v>401</v>
      </c>
      <c r="D99" s="13" t="s">
        <v>402</v>
      </c>
      <c r="E99" s="14" t="s">
        <v>403</v>
      </c>
      <c r="F99" s="15">
        <v>2025</v>
      </c>
      <c r="G99" s="11" t="s">
        <v>15</v>
      </c>
      <c r="H99" s="11" t="s">
        <v>15</v>
      </c>
      <c r="I99" s="11" t="s">
        <v>16</v>
      </c>
      <c r="J99" s="11" t="s">
        <v>15</v>
      </c>
    </row>
    <row r="100" spans="1:10" s="10" customFormat="1" ht="24.75" customHeight="1" x14ac:dyDescent="0.3">
      <c r="A100" s="11" t="s">
        <v>404</v>
      </c>
      <c r="B100" s="12" t="s">
        <v>23</v>
      </c>
      <c r="C100" s="12" t="s">
        <v>405</v>
      </c>
      <c r="D100" s="13" t="s">
        <v>406</v>
      </c>
      <c r="E100" s="14" t="s">
        <v>407</v>
      </c>
      <c r="F100" s="15">
        <v>2026</v>
      </c>
      <c r="G100" s="11" t="s">
        <v>15</v>
      </c>
      <c r="H100" s="11" t="s">
        <v>15</v>
      </c>
      <c r="I100" s="11" t="s">
        <v>16</v>
      </c>
      <c r="J100" s="11" t="s">
        <v>15</v>
      </c>
    </row>
    <row r="101" spans="1:10" s="10" customFormat="1" ht="24.75" customHeight="1" x14ac:dyDescent="0.3">
      <c r="A101" s="11" t="s">
        <v>408</v>
      </c>
      <c r="B101" s="12" t="s">
        <v>23</v>
      </c>
      <c r="C101" s="12" t="s">
        <v>409</v>
      </c>
      <c r="D101" s="13" t="s">
        <v>410</v>
      </c>
      <c r="E101" s="14" t="s">
        <v>411</v>
      </c>
      <c r="F101" s="15">
        <v>2019</v>
      </c>
      <c r="G101" s="11" t="s">
        <v>15</v>
      </c>
      <c r="H101" s="11" t="s">
        <v>15</v>
      </c>
      <c r="I101" s="11" t="s">
        <v>16</v>
      </c>
      <c r="J101" s="11" t="s">
        <v>15</v>
      </c>
    </row>
    <row r="102" spans="1:10" s="10" customFormat="1" ht="24.75" customHeight="1" x14ac:dyDescent="0.3">
      <c r="A102" s="11" t="s">
        <v>412</v>
      </c>
      <c r="B102" s="12" t="s">
        <v>23</v>
      </c>
      <c r="C102" s="12" t="s">
        <v>413</v>
      </c>
      <c r="D102" s="13" t="s">
        <v>414</v>
      </c>
      <c r="E102" s="14" t="s">
        <v>415</v>
      </c>
      <c r="F102" s="15">
        <v>2012</v>
      </c>
      <c r="G102" s="11" t="s">
        <v>15</v>
      </c>
      <c r="H102" s="11" t="s">
        <v>52</v>
      </c>
      <c r="I102" s="11" t="s">
        <v>53</v>
      </c>
      <c r="J102" s="11" t="s">
        <v>15</v>
      </c>
    </row>
    <row r="103" spans="1:10" s="10" customFormat="1" ht="24.75" customHeight="1" x14ac:dyDescent="0.3">
      <c r="A103" s="11" t="s">
        <v>416</v>
      </c>
      <c r="B103" s="12" t="s">
        <v>23</v>
      </c>
      <c r="C103" s="12" t="s">
        <v>417</v>
      </c>
      <c r="D103" s="20" t="s">
        <v>418</v>
      </c>
      <c r="E103" s="14" t="s">
        <v>419</v>
      </c>
      <c r="F103" s="15">
        <v>2025</v>
      </c>
      <c r="G103" s="11" t="s">
        <v>15</v>
      </c>
      <c r="H103" s="11" t="s">
        <v>15</v>
      </c>
      <c r="I103" s="11" t="s">
        <v>16</v>
      </c>
      <c r="J103" s="11" t="s">
        <v>15</v>
      </c>
    </row>
    <row r="104" spans="1:10" s="10" customFormat="1" ht="24.75" customHeight="1" x14ac:dyDescent="0.3">
      <c r="A104" s="11" t="s">
        <v>420</v>
      </c>
      <c r="B104" s="12" t="s">
        <v>18</v>
      </c>
      <c r="C104" s="12" t="s">
        <v>421</v>
      </c>
      <c r="D104" s="13" t="s">
        <v>422</v>
      </c>
      <c r="E104" s="14" t="s">
        <v>423</v>
      </c>
      <c r="F104" s="15">
        <v>2013</v>
      </c>
      <c r="G104" s="11" t="s">
        <v>15</v>
      </c>
      <c r="H104" s="11" t="s">
        <v>15</v>
      </c>
      <c r="I104" s="11" t="s">
        <v>16</v>
      </c>
      <c r="J104" s="11" t="s">
        <v>15</v>
      </c>
    </row>
    <row r="105" spans="1:10" s="10" customFormat="1" ht="24.75" customHeight="1" x14ac:dyDescent="0.3">
      <c r="A105" s="11" t="s">
        <v>424</v>
      </c>
      <c r="B105" s="12" t="s">
        <v>44</v>
      </c>
      <c r="C105" s="12" t="s">
        <v>425</v>
      </c>
      <c r="D105" s="13" t="s">
        <v>426</v>
      </c>
      <c r="E105" s="14" t="s">
        <v>427</v>
      </c>
      <c r="F105" s="15">
        <v>2023</v>
      </c>
      <c r="G105" s="11" t="s">
        <v>15</v>
      </c>
      <c r="H105" s="11" t="s">
        <v>15</v>
      </c>
      <c r="I105" s="11" t="s">
        <v>16</v>
      </c>
      <c r="J105" s="11" t="s">
        <v>15</v>
      </c>
    </row>
    <row r="106" spans="1:10" s="10" customFormat="1" ht="24.75" customHeight="1" x14ac:dyDescent="0.3">
      <c r="A106" s="11" t="s">
        <v>428</v>
      </c>
      <c r="B106" s="12" t="s">
        <v>23</v>
      </c>
      <c r="C106" s="12" t="s">
        <v>429</v>
      </c>
      <c r="D106" s="16" t="s">
        <v>430</v>
      </c>
      <c r="E106" s="12" t="s">
        <v>431</v>
      </c>
      <c r="F106" s="15">
        <v>2010</v>
      </c>
      <c r="G106" s="13" t="s">
        <v>52</v>
      </c>
      <c r="H106" s="13" t="s">
        <v>52</v>
      </c>
      <c r="I106" s="11" t="s">
        <v>16</v>
      </c>
      <c r="J106" s="11" t="s">
        <v>52</v>
      </c>
    </row>
    <row r="107" spans="1:10" s="10" customFormat="1" ht="24.75" customHeight="1" x14ac:dyDescent="0.3">
      <c r="A107" s="11" t="s">
        <v>432</v>
      </c>
      <c r="B107" s="12" t="s">
        <v>23</v>
      </c>
      <c r="C107" s="12" t="s">
        <v>433</v>
      </c>
      <c r="D107" s="13" t="s">
        <v>434</v>
      </c>
      <c r="E107" s="14" t="s">
        <v>435</v>
      </c>
      <c r="F107" s="15">
        <v>2026</v>
      </c>
      <c r="G107" s="11" t="s">
        <v>15</v>
      </c>
      <c r="H107" s="11" t="s">
        <v>15</v>
      </c>
      <c r="I107" s="11" t="s">
        <v>16</v>
      </c>
      <c r="J107" s="11" t="s">
        <v>15</v>
      </c>
    </row>
    <row r="108" spans="1:10" s="10" customFormat="1" ht="24.75" customHeight="1" x14ac:dyDescent="0.3">
      <c r="A108" s="11" t="s">
        <v>436</v>
      </c>
      <c r="B108" s="12" t="s">
        <v>23</v>
      </c>
      <c r="C108" s="12" t="s">
        <v>437</v>
      </c>
      <c r="D108" s="13" t="s">
        <v>438</v>
      </c>
      <c r="E108" s="14" t="s">
        <v>439</v>
      </c>
      <c r="F108" s="15">
        <v>2019</v>
      </c>
      <c r="G108" s="11" t="s">
        <v>15</v>
      </c>
      <c r="H108" s="11" t="s">
        <v>15</v>
      </c>
      <c r="I108" s="11" t="s">
        <v>16</v>
      </c>
      <c r="J108" s="11" t="s">
        <v>15</v>
      </c>
    </row>
    <row r="109" spans="1:10" s="10" customFormat="1" ht="24.75" customHeight="1" x14ac:dyDescent="0.3">
      <c r="A109" s="11" t="s">
        <v>440</v>
      </c>
      <c r="B109" s="12" t="s">
        <v>67</v>
      </c>
      <c r="C109" s="12" t="s">
        <v>441</v>
      </c>
      <c r="D109" s="13" t="s">
        <v>442</v>
      </c>
      <c r="E109" s="14" t="s">
        <v>443</v>
      </c>
      <c r="F109" s="15">
        <v>2025</v>
      </c>
      <c r="G109" s="11" t="s">
        <v>15</v>
      </c>
      <c r="H109" s="11" t="s">
        <v>15</v>
      </c>
      <c r="I109" s="11" t="s">
        <v>16</v>
      </c>
      <c r="J109" s="11" t="s">
        <v>15</v>
      </c>
    </row>
    <row r="110" spans="1:10" s="10" customFormat="1" ht="24.75" customHeight="1" x14ac:dyDescent="0.3">
      <c r="A110" s="11" t="s">
        <v>444</v>
      </c>
      <c r="B110" s="12" t="s">
        <v>67</v>
      </c>
      <c r="C110" s="12" t="s">
        <v>445</v>
      </c>
      <c r="D110" s="13" t="s">
        <v>446</v>
      </c>
      <c r="E110" s="14" t="s">
        <v>447</v>
      </c>
      <c r="F110" s="15">
        <v>2017</v>
      </c>
      <c r="G110" s="11" t="s">
        <v>15</v>
      </c>
      <c r="H110" s="11" t="s">
        <v>15</v>
      </c>
      <c r="I110" s="11" t="s">
        <v>16</v>
      </c>
      <c r="J110" s="11" t="s">
        <v>15</v>
      </c>
    </row>
    <row r="111" spans="1:10" s="10" customFormat="1" ht="24.75" customHeight="1" x14ac:dyDescent="0.3">
      <c r="A111" s="11" t="s">
        <v>448</v>
      </c>
      <c r="B111" s="12" t="s">
        <v>23</v>
      </c>
      <c r="C111" s="12" t="s">
        <v>449</v>
      </c>
      <c r="D111" s="13" t="s">
        <v>450</v>
      </c>
      <c r="E111" s="14" t="s">
        <v>451</v>
      </c>
      <c r="F111" s="15">
        <v>2025</v>
      </c>
      <c r="G111" s="11" t="s">
        <v>15</v>
      </c>
      <c r="H111" s="11" t="s">
        <v>15</v>
      </c>
      <c r="I111" s="11" t="s">
        <v>16</v>
      </c>
      <c r="J111" s="11" t="s">
        <v>15</v>
      </c>
    </row>
    <row r="112" spans="1:10" s="10" customFormat="1" ht="24.75" customHeight="1" x14ac:dyDescent="0.3">
      <c r="A112" s="11" t="s">
        <v>452</v>
      </c>
      <c r="B112" s="12" t="s">
        <v>67</v>
      </c>
      <c r="C112" s="12" t="s">
        <v>453</v>
      </c>
      <c r="D112" s="13" t="s">
        <v>454</v>
      </c>
      <c r="E112" s="14" t="s">
        <v>455</v>
      </c>
      <c r="F112" s="15">
        <v>2008</v>
      </c>
      <c r="G112" s="11" t="s">
        <v>15</v>
      </c>
      <c r="H112" s="11" t="s">
        <v>15</v>
      </c>
      <c r="I112" s="11" t="s">
        <v>16</v>
      </c>
      <c r="J112" s="11" t="s">
        <v>15</v>
      </c>
    </row>
    <row r="113" spans="1:10" s="10" customFormat="1" ht="24.75" customHeight="1" x14ac:dyDescent="0.3">
      <c r="A113" s="11" t="s">
        <v>456</v>
      </c>
      <c r="B113" s="12" t="s">
        <v>67</v>
      </c>
      <c r="C113" s="12" t="s">
        <v>457</v>
      </c>
      <c r="D113" s="13" t="s">
        <v>458</v>
      </c>
      <c r="E113" s="14" t="s">
        <v>459</v>
      </c>
      <c r="F113" s="15">
        <v>2024</v>
      </c>
      <c r="G113" s="11" t="s">
        <v>15</v>
      </c>
      <c r="H113" s="11" t="s">
        <v>15</v>
      </c>
      <c r="I113" s="11" t="s">
        <v>16</v>
      </c>
      <c r="J113" s="11" t="s">
        <v>15</v>
      </c>
    </row>
    <row r="114" spans="1:10" s="10" customFormat="1" ht="24.75" customHeight="1" x14ac:dyDescent="0.3">
      <c r="A114" s="11" t="s">
        <v>460</v>
      </c>
      <c r="B114" s="12" t="s">
        <v>18</v>
      </c>
      <c r="C114" s="12" t="s">
        <v>461</v>
      </c>
      <c r="D114" s="13" t="s">
        <v>462</v>
      </c>
      <c r="E114" s="14" t="s">
        <v>463</v>
      </c>
      <c r="F114" s="15">
        <v>2021</v>
      </c>
      <c r="G114" s="11" t="s">
        <v>15</v>
      </c>
      <c r="H114" s="11" t="s">
        <v>15</v>
      </c>
      <c r="I114" s="11" t="s">
        <v>16</v>
      </c>
      <c r="J114" s="11" t="s">
        <v>15</v>
      </c>
    </row>
    <row r="115" spans="1:10" s="10" customFormat="1" ht="24.75" customHeight="1" x14ac:dyDescent="0.3">
      <c r="A115" s="11" t="s">
        <v>464</v>
      </c>
      <c r="B115" s="12" t="s">
        <v>67</v>
      </c>
      <c r="C115" s="12" t="s">
        <v>465</v>
      </c>
      <c r="D115" s="13" t="s">
        <v>466</v>
      </c>
      <c r="E115" s="14" t="s">
        <v>467</v>
      </c>
      <c r="F115" s="15">
        <v>2025</v>
      </c>
      <c r="G115" s="11" t="s">
        <v>15</v>
      </c>
      <c r="H115" s="11" t="s">
        <v>15</v>
      </c>
      <c r="I115" s="11" t="s">
        <v>16</v>
      </c>
      <c r="J115" s="11" t="s">
        <v>15</v>
      </c>
    </row>
    <row r="116" spans="1:10" s="10" customFormat="1" ht="24.75" customHeight="1" x14ac:dyDescent="0.3">
      <c r="A116" s="11" t="s">
        <v>468</v>
      </c>
      <c r="B116" s="12" t="s">
        <v>67</v>
      </c>
      <c r="C116" s="12" t="s">
        <v>469</v>
      </c>
      <c r="D116" s="13" t="s">
        <v>470</v>
      </c>
      <c r="E116" s="14" t="s">
        <v>115</v>
      </c>
      <c r="F116" s="15">
        <v>2023</v>
      </c>
      <c r="G116" s="11" t="s">
        <v>15</v>
      </c>
      <c r="H116" s="11" t="s">
        <v>15</v>
      </c>
      <c r="I116" s="11" t="s">
        <v>16</v>
      </c>
      <c r="J116" s="11" t="s">
        <v>15</v>
      </c>
    </row>
    <row r="117" spans="1:10" s="10" customFormat="1" ht="24.75" customHeight="1" x14ac:dyDescent="0.3">
      <c r="A117" s="11" t="s">
        <v>471</v>
      </c>
      <c r="B117" s="12" t="s">
        <v>67</v>
      </c>
      <c r="C117" s="12" t="s">
        <v>472</v>
      </c>
      <c r="D117" s="13" t="s">
        <v>473</v>
      </c>
      <c r="E117" s="14" t="s">
        <v>474</v>
      </c>
      <c r="F117" s="15">
        <v>2007</v>
      </c>
      <c r="G117" s="11" t="s">
        <v>15</v>
      </c>
      <c r="H117" s="11" t="s">
        <v>15</v>
      </c>
      <c r="I117" s="11" t="s">
        <v>16</v>
      </c>
      <c r="J117" s="11" t="s">
        <v>15</v>
      </c>
    </row>
    <row r="118" spans="1:10" s="10" customFormat="1" ht="24.75" customHeight="1" x14ac:dyDescent="0.3">
      <c r="A118" s="11" t="s">
        <v>475</v>
      </c>
      <c r="B118" s="12" t="s">
        <v>67</v>
      </c>
      <c r="C118" s="12" t="s">
        <v>476</v>
      </c>
      <c r="D118" s="13" t="s">
        <v>477</v>
      </c>
      <c r="E118" s="14" t="s">
        <v>478</v>
      </c>
      <c r="F118" s="15">
        <v>2023</v>
      </c>
      <c r="G118" s="11" t="s">
        <v>15</v>
      </c>
      <c r="H118" s="11" t="s">
        <v>15</v>
      </c>
      <c r="I118" s="11" t="s">
        <v>16</v>
      </c>
      <c r="J118" s="11" t="s">
        <v>15</v>
      </c>
    </row>
    <row r="119" spans="1:10" s="10" customFormat="1" ht="24.75" customHeight="1" x14ac:dyDescent="0.3">
      <c r="A119" s="11" t="s">
        <v>479</v>
      </c>
      <c r="B119" s="12" t="s">
        <v>23</v>
      </c>
      <c r="C119" s="12" t="s">
        <v>480</v>
      </c>
      <c r="D119" s="13" t="s">
        <v>481</v>
      </c>
      <c r="E119" s="14" t="s">
        <v>482</v>
      </c>
      <c r="F119" s="15">
        <v>2015</v>
      </c>
      <c r="G119" s="11" t="s">
        <v>15</v>
      </c>
      <c r="H119" s="11" t="s">
        <v>52</v>
      </c>
      <c r="I119" s="11" t="s">
        <v>53</v>
      </c>
      <c r="J119" s="11" t="s">
        <v>15</v>
      </c>
    </row>
    <row r="120" spans="1:10" s="10" customFormat="1" ht="24.75" customHeight="1" x14ac:dyDescent="0.3">
      <c r="A120" s="11" t="s">
        <v>483</v>
      </c>
      <c r="B120" s="12" t="s">
        <v>23</v>
      </c>
      <c r="C120" s="12" t="s">
        <v>484</v>
      </c>
      <c r="D120" s="13" t="s">
        <v>485</v>
      </c>
      <c r="E120" s="14" t="s">
        <v>486</v>
      </c>
      <c r="F120" s="15">
        <v>2025</v>
      </c>
      <c r="G120" s="11" t="s">
        <v>15</v>
      </c>
      <c r="H120" s="11" t="s">
        <v>15</v>
      </c>
      <c r="I120" s="11" t="s">
        <v>16</v>
      </c>
      <c r="J120" s="11" t="s">
        <v>15</v>
      </c>
    </row>
    <row r="121" spans="1:10" s="10" customFormat="1" ht="24.75" customHeight="1" x14ac:dyDescent="0.3">
      <c r="A121" s="11" t="s">
        <v>487</v>
      </c>
      <c r="B121" s="12" t="s">
        <v>23</v>
      </c>
      <c r="C121" s="12" t="s">
        <v>488</v>
      </c>
      <c r="D121" s="13" t="s">
        <v>489</v>
      </c>
      <c r="E121" s="14" t="s">
        <v>490</v>
      </c>
      <c r="F121" s="15">
        <v>2022</v>
      </c>
      <c r="G121" s="11" t="s">
        <v>15</v>
      </c>
      <c r="H121" s="11" t="s">
        <v>15</v>
      </c>
      <c r="I121" s="11" t="s">
        <v>16</v>
      </c>
      <c r="J121" s="11" t="s">
        <v>15</v>
      </c>
    </row>
    <row r="122" spans="1:10" s="10" customFormat="1" ht="24.75" customHeight="1" x14ac:dyDescent="0.3">
      <c r="A122" s="11" t="s">
        <v>491</v>
      </c>
      <c r="B122" s="12" t="s">
        <v>23</v>
      </c>
      <c r="C122" s="12" t="s">
        <v>492</v>
      </c>
      <c r="D122" s="13" t="s">
        <v>493</v>
      </c>
      <c r="E122" s="14" t="s">
        <v>494</v>
      </c>
      <c r="F122" s="15">
        <v>2015</v>
      </c>
      <c r="G122" s="11" t="s">
        <v>15</v>
      </c>
      <c r="H122" s="11" t="s">
        <v>15</v>
      </c>
      <c r="I122" s="11" t="s">
        <v>16</v>
      </c>
      <c r="J122" s="11" t="s">
        <v>15</v>
      </c>
    </row>
    <row r="123" spans="1:10" s="10" customFormat="1" ht="24.75" customHeight="1" x14ac:dyDescent="0.3">
      <c r="A123" s="11" t="s">
        <v>495</v>
      </c>
      <c r="B123" s="12" t="s">
        <v>23</v>
      </c>
      <c r="C123" s="12" t="s">
        <v>496</v>
      </c>
      <c r="D123" s="13" t="s">
        <v>497</v>
      </c>
      <c r="E123" s="14" t="s">
        <v>498</v>
      </c>
      <c r="F123" s="15">
        <v>2009</v>
      </c>
      <c r="G123" s="11" t="s">
        <v>15</v>
      </c>
      <c r="H123" s="11" t="s">
        <v>15</v>
      </c>
      <c r="I123" s="11" t="s">
        <v>16</v>
      </c>
      <c r="J123" s="11" t="s">
        <v>15</v>
      </c>
    </row>
    <row r="124" spans="1:10" s="10" customFormat="1" ht="24.75" customHeight="1" x14ac:dyDescent="0.3">
      <c r="A124" s="11" t="s">
        <v>499</v>
      </c>
      <c r="B124" s="12" t="s">
        <v>23</v>
      </c>
      <c r="C124" s="12" t="s">
        <v>500</v>
      </c>
      <c r="D124" s="13" t="s">
        <v>501</v>
      </c>
      <c r="E124" s="14" t="s">
        <v>502</v>
      </c>
      <c r="F124" s="15">
        <v>2019</v>
      </c>
      <c r="G124" s="13" t="s">
        <v>52</v>
      </c>
      <c r="H124" s="13" t="s">
        <v>52</v>
      </c>
      <c r="I124" s="11" t="s">
        <v>16</v>
      </c>
      <c r="J124" s="11" t="s">
        <v>52</v>
      </c>
    </row>
    <row r="125" spans="1:10" s="10" customFormat="1" ht="24.75" customHeight="1" x14ac:dyDescent="0.3">
      <c r="A125" s="11" t="s">
        <v>503</v>
      </c>
      <c r="B125" s="12" t="s">
        <v>67</v>
      </c>
      <c r="C125" s="12" t="s">
        <v>504</v>
      </c>
      <c r="D125" s="13" t="s">
        <v>505</v>
      </c>
      <c r="E125" s="14" t="s">
        <v>506</v>
      </c>
      <c r="F125" s="15">
        <v>2019</v>
      </c>
      <c r="G125" s="13" t="s">
        <v>52</v>
      </c>
      <c r="H125" s="13" t="s">
        <v>52</v>
      </c>
      <c r="I125" s="11" t="s">
        <v>16</v>
      </c>
      <c r="J125" s="11" t="s">
        <v>52</v>
      </c>
    </row>
    <row r="126" spans="1:10" s="10" customFormat="1" ht="24.75" customHeight="1" x14ac:dyDescent="0.3">
      <c r="A126" s="11" t="s">
        <v>507</v>
      </c>
      <c r="B126" s="12" t="s">
        <v>67</v>
      </c>
      <c r="C126" s="12" t="s">
        <v>508</v>
      </c>
      <c r="D126" s="13" t="s">
        <v>509</v>
      </c>
      <c r="E126" s="14" t="s">
        <v>510</v>
      </c>
      <c r="F126" s="15">
        <v>2017</v>
      </c>
      <c r="G126" s="13" t="s">
        <v>52</v>
      </c>
      <c r="H126" s="13" t="s">
        <v>52</v>
      </c>
      <c r="I126" s="11" t="s">
        <v>16</v>
      </c>
      <c r="J126" s="11" t="s">
        <v>52</v>
      </c>
    </row>
    <row r="127" spans="1:10" s="10" customFormat="1" ht="24.75" customHeight="1" x14ac:dyDescent="0.3">
      <c r="A127" s="11" t="s">
        <v>511</v>
      </c>
      <c r="B127" s="12" t="s">
        <v>23</v>
      </c>
      <c r="C127" s="12" t="s">
        <v>512</v>
      </c>
      <c r="D127" s="13" t="s">
        <v>513</v>
      </c>
      <c r="E127" s="14" t="s">
        <v>514</v>
      </c>
      <c r="F127" s="15">
        <v>2016</v>
      </c>
      <c r="G127" s="11" t="s">
        <v>15</v>
      </c>
      <c r="H127" s="11" t="s">
        <v>15</v>
      </c>
      <c r="I127" s="11" t="s">
        <v>16</v>
      </c>
      <c r="J127" s="11" t="s">
        <v>15</v>
      </c>
    </row>
    <row r="128" spans="1:10" s="10" customFormat="1" ht="24.75" customHeight="1" x14ac:dyDescent="0.3">
      <c r="A128" s="11" t="s">
        <v>515</v>
      </c>
      <c r="B128" s="12" t="s">
        <v>67</v>
      </c>
      <c r="C128" s="12" t="s">
        <v>516</v>
      </c>
      <c r="D128" s="13" t="s">
        <v>517</v>
      </c>
      <c r="E128" s="14" t="s">
        <v>518</v>
      </c>
      <c r="F128" s="15">
        <v>2024</v>
      </c>
      <c r="G128" s="13" t="s">
        <v>52</v>
      </c>
      <c r="H128" s="13" t="s">
        <v>52</v>
      </c>
      <c r="I128" s="11" t="s">
        <v>16</v>
      </c>
      <c r="J128" s="11" t="s">
        <v>52</v>
      </c>
    </row>
    <row r="129" spans="1:10" s="10" customFormat="1" ht="24.75" customHeight="1" x14ac:dyDescent="0.3">
      <c r="A129" s="11" t="s">
        <v>519</v>
      </c>
      <c r="B129" s="12" t="s">
        <v>23</v>
      </c>
      <c r="C129" s="12" t="s">
        <v>520</v>
      </c>
      <c r="D129" s="13" t="s">
        <v>521</v>
      </c>
      <c r="E129" s="14" t="s">
        <v>522</v>
      </c>
      <c r="F129" s="15">
        <v>2025</v>
      </c>
      <c r="G129" s="11" t="s">
        <v>15</v>
      </c>
      <c r="H129" s="11" t="s">
        <v>15</v>
      </c>
      <c r="I129" s="11" t="s">
        <v>16</v>
      </c>
      <c r="J129" s="11" t="s">
        <v>15</v>
      </c>
    </row>
    <row r="130" spans="1:10" s="10" customFormat="1" ht="24.75" customHeight="1" x14ac:dyDescent="0.3">
      <c r="A130" s="11" t="s">
        <v>523</v>
      </c>
      <c r="B130" s="12" t="s">
        <v>67</v>
      </c>
      <c r="C130" s="12" t="s">
        <v>524</v>
      </c>
      <c r="D130" s="13" t="s">
        <v>525</v>
      </c>
      <c r="E130" s="16"/>
      <c r="F130" s="18"/>
      <c r="G130" s="13" t="s">
        <v>52</v>
      </c>
      <c r="H130" s="13" t="s">
        <v>52</v>
      </c>
      <c r="I130" s="11" t="s">
        <v>16</v>
      </c>
      <c r="J130" s="11" t="s">
        <v>52</v>
      </c>
    </row>
    <row r="131" spans="1:10" s="10" customFormat="1" ht="24.75" customHeight="1" x14ac:dyDescent="0.3">
      <c r="A131" s="11" t="s">
        <v>526</v>
      </c>
      <c r="B131" s="12" t="s">
        <v>44</v>
      </c>
      <c r="C131" s="12" t="s">
        <v>527</v>
      </c>
      <c r="D131" s="13" t="s">
        <v>528</v>
      </c>
      <c r="E131" s="14" t="s">
        <v>529</v>
      </c>
      <c r="F131" s="15">
        <v>2023</v>
      </c>
      <c r="G131" s="13" t="s">
        <v>15</v>
      </c>
      <c r="H131" s="13" t="s">
        <v>52</v>
      </c>
      <c r="I131" s="11" t="s">
        <v>53</v>
      </c>
      <c r="J131" s="11" t="s">
        <v>52</v>
      </c>
    </row>
    <row r="132" spans="1:10" s="10" customFormat="1" ht="24.75" customHeight="1" x14ac:dyDescent="0.3">
      <c r="A132" s="11" t="s">
        <v>530</v>
      </c>
      <c r="B132" s="12" t="s">
        <v>67</v>
      </c>
      <c r="C132" s="12" t="s">
        <v>531</v>
      </c>
      <c r="D132" s="13" t="s">
        <v>532</v>
      </c>
      <c r="E132" s="14" t="s">
        <v>533</v>
      </c>
      <c r="F132" s="15">
        <v>1995</v>
      </c>
      <c r="G132" s="13" t="s">
        <v>52</v>
      </c>
      <c r="H132" s="13" t="s">
        <v>52</v>
      </c>
      <c r="I132" s="11" t="s">
        <v>16</v>
      </c>
      <c r="J132" s="11" t="s">
        <v>52</v>
      </c>
    </row>
    <row r="133" spans="1:10" s="10" customFormat="1" ht="24.75" customHeight="1" x14ac:dyDescent="0.3">
      <c r="A133" s="11" t="s">
        <v>534</v>
      </c>
      <c r="B133" s="12" t="s">
        <v>44</v>
      </c>
      <c r="C133" s="12" t="s">
        <v>535</v>
      </c>
      <c r="D133" s="13" t="s">
        <v>536</v>
      </c>
      <c r="E133" s="14" t="s">
        <v>537</v>
      </c>
      <c r="F133" s="15">
        <v>2015</v>
      </c>
      <c r="G133" s="13" t="s">
        <v>52</v>
      </c>
      <c r="H133" s="13" t="s">
        <v>52</v>
      </c>
      <c r="I133" s="11" t="s">
        <v>16</v>
      </c>
      <c r="J133" s="11" t="s">
        <v>52</v>
      </c>
    </row>
    <row r="134" spans="1:10" s="10" customFormat="1" ht="24.75" customHeight="1" x14ac:dyDescent="0.3">
      <c r="A134" s="11" t="s">
        <v>538</v>
      </c>
      <c r="B134" s="12" t="s">
        <v>18</v>
      </c>
      <c r="C134" s="12" t="s">
        <v>539</v>
      </c>
      <c r="D134" s="13" t="s">
        <v>540</v>
      </c>
      <c r="E134" s="14" t="s">
        <v>541</v>
      </c>
      <c r="F134" s="15">
        <v>2026</v>
      </c>
      <c r="G134" s="13" t="s">
        <v>52</v>
      </c>
      <c r="H134" s="13" t="s">
        <v>52</v>
      </c>
      <c r="I134" s="11" t="s">
        <v>16</v>
      </c>
      <c r="J134" s="11" t="s">
        <v>52</v>
      </c>
    </row>
    <row r="135" spans="1:10" s="10" customFormat="1" ht="24.75" customHeight="1" x14ac:dyDescent="0.3">
      <c r="A135" s="11" t="s">
        <v>542</v>
      </c>
      <c r="B135" s="12" t="s">
        <v>23</v>
      </c>
      <c r="C135" s="12" t="s">
        <v>543</v>
      </c>
      <c r="D135" s="13" t="s">
        <v>544</v>
      </c>
      <c r="E135" s="14" t="s">
        <v>545</v>
      </c>
      <c r="F135" s="15">
        <v>2025</v>
      </c>
      <c r="G135" s="11" t="s">
        <v>15</v>
      </c>
      <c r="H135" s="11" t="s">
        <v>15</v>
      </c>
      <c r="I135" s="11" t="s">
        <v>16</v>
      </c>
      <c r="J135" s="11" t="s">
        <v>15</v>
      </c>
    </row>
    <row r="136" spans="1:10" s="10" customFormat="1" ht="24.75" customHeight="1" x14ac:dyDescent="0.3">
      <c r="A136" s="11" t="s">
        <v>546</v>
      </c>
      <c r="B136" s="12" t="s">
        <v>67</v>
      </c>
      <c r="C136" s="12" t="s">
        <v>547</v>
      </c>
      <c r="D136" s="13" t="s">
        <v>548</v>
      </c>
      <c r="E136" s="14" t="s">
        <v>549</v>
      </c>
      <c r="F136" s="15">
        <v>2023</v>
      </c>
      <c r="G136" s="13" t="s">
        <v>52</v>
      </c>
      <c r="H136" s="13" t="s">
        <v>52</v>
      </c>
      <c r="I136" s="11" t="s">
        <v>16</v>
      </c>
      <c r="J136" s="11" t="s">
        <v>52</v>
      </c>
    </row>
    <row r="137" spans="1:10" s="10" customFormat="1" ht="24.75" customHeight="1" x14ac:dyDescent="0.3">
      <c r="A137" s="11" t="s">
        <v>550</v>
      </c>
      <c r="B137" s="12" t="s">
        <v>18</v>
      </c>
      <c r="C137" s="12" t="s">
        <v>551</v>
      </c>
      <c r="D137" s="13" t="s">
        <v>552</v>
      </c>
      <c r="E137" s="14" t="s">
        <v>553</v>
      </c>
      <c r="F137" s="15">
        <v>2024</v>
      </c>
      <c r="G137" s="11" t="s">
        <v>15</v>
      </c>
      <c r="H137" s="11" t="s">
        <v>15</v>
      </c>
      <c r="I137" s="11" t="s">
        <v>16</v>
      </c>
      <c r="J137" s="11" t="s">
        <v>15</v>
      </c>
    </row>
    <row r="138" spans="1:10" s="10" customFormat="1" ht="24.75" customHeight="1" x14ac:dyDescent="0.3">
      <c r="A138" s="11" t="s">
        <v>554</v>
      </c>
      <c r="B138" s="12" t="s">
        <v>23</v>
      </c>
      <c r="C138" s="12" t="s">
        <v>555</v>
      </c>
      <c r="D138" s="13" t="s">
        <v>556</v>
      </c>
      <c r="E138" s="14" t="s">
        <v>557</v>
      </c>
      <c r="F138" s="15">
        <v>2005</v>
      </c>
      <c r="G138" s="13" t="s">
        <v>52</v>
      </c>
      <c r="H138" s="13" t="s">
        <v>52</v>
      </c>
      <c r="I138" s="11" t="s">
        <v>16</v>
      </c>
      <c r="J138" s="11" t="s">
        <v>52</v>
      </c>
    </row>
    <row r="139" spans="1:10" s="10" customFormat="1" ht="24.75" customHeight="1" x14ac:dyDescent="0.3">
      <c r="A139" s="11" t="s">
        <v>558</v>
      </c>
      <c r="B139" s="12" t="s">
        <v>67</v>
      </c>
      <c r="C139" s="12" t="s">
        <v>559</v>
      </c>
      <c r="D139" s="13" t="s">
        <v>560</v>
      </c>
      <c r="E139" s="14" t="s">
        <v>561</v>
      </c>
      <c r="F139" s="15">
        <v>2025</v>
      </c>
      <c r="G139" s="13" t="s">
        <v>52</v>
      </c>
      <c r="H139" s="13" t="s">
        <v>52</v>
      </c>
      <c r="I139" s="11" t="s">
        <v>16</v>
      </c>
      <c r="J139" s="11" t="s">
        <v>52</v>
      </c>
    </row>
    <row r="140" spans="1:10" s="10" customFormat="1" ht="24.75" customHeight="1" x14ac:dyDescent="0.3">
      <c r="A140" s="11" t="s">
        <v>562</v>
      </c>
      <c r="B140" s="12" t="s">
        <v>88</v>
      </c>
      <c r="C140" s="12" t="s">
        <v>563</v>
      </c>
      <c r="D140" s="13" t="s">
        <v>564</v>
      </c>
      <c r="E140" s="14" t="s">
        <v>565</v>
      </c>
      <c r="F140" s="15">
        <v>2019</v>
      </c>
      <c r="G140" s="13" t="s">
        <v>52</v>
      </c>
      <c r="H140" s="13" t="s">
        <v>52</v>
      </c>
      <c r="I140" s="11" t="s">
        <v>16</v>
      </c>
      <c r="J140" s="11" t="s">
        <v>52</v>
      </c>
    </row>
    <row r="141" spans="1:10" s="10" customFormat="1" ht="24.75" customHeight="1" x14ac:dyDescent="0.3">
      <c r="A141" s="11" t="s">
        <v>566</v>
      </c>
      <c r="B141" s="12" t="s">
        <v>18</v>
      </c>
      <c r="C141" s="12" t="s">
        <v>567</v>
      </c>
      <c r="D141" s="13" t="s">
        <v>568</v>
      </c>
      <c r="E141" s="14" t="s">
        <v>569</v>
      </c>
      <c r="F141" s="15">
        <v>2008</v>
      </c>
      <c r="G141" s="13" t="s">
        <v>52</v>
      </c>
      <c r="H141" s="13" t="s">
        <v>52</v>
      </c>
      <c r="I141" s="11" t="s">
        <v>16</v>
      </c>
      <c r="J141" s="11" t="s">
        <v>52</v>
      </c>
    </row>
    <row r="142" spans="1:10" s="10" customFormat="1" ht="24.75" customHeight="1" x14ac:dyDescent="0.3">
      <c r="A142" s="11" t="s">
        <v>570</v>
      </c>
      <c r="B142" s="12" t="s">
        <v>67</v>
      </c>
      <c r="C142" s="12" t="s">
        <v>571</v>
      </c>
      <c r="D142" s="13" t="s">
        <v>572</v>
      </c>
      <c r="E142" s="14" t="s">
        <v>573</v>
      </c>
      <c r="F142" s="15">
        <v>2021</v>
      </c>
      <c r="G142" s="13" t="s">
        <v>52</v>
      </c>
      <c r="H142" s="13" t="s">
        <v>52</v>
      </c>
      <c r="I142" s="11" t="s">
        <v>16</v>
      </c>
      <c r="J142" s="11" t="s">
        <v>52</v>
      </c>
    </row>
    <row r="143" spans="1:10" s="10" customFormat="1" ht="24.75" customHeight="1" x14ac:dyDescent="0.3">
      <c r="A143" s="11" t="s">
        <v>574</v>
      </c>
      <c r="B143" s="12" t="s">
        <v>23</v>
      </c>
      <c r="C143" s="12" t="s">
        <v>575</v>
      </c>
      <c r="D143" s="13" t="s">
        <v>576</v>
      </c>
      <c r="E143" s="14" t="s">
        <v>577</v>
      </c>
      <c r="F143" s="15">
        <v>2025</v>
      </c>
      <c r="G143" s="11" t="s">
        <v>15</v>
      </c>
      <c r="H143" s="11" t="s">
        <v>15</v>
      </c>
      <c r="I143" s="11" t="s">
        <v>16</v>
      </c>
      <c r="J143" s="11" t="s">
        <v>15</v>
      </c>
    </row>
    <row r="144" spans="1:10" s="10" customFormat="1" ht="24.75" customHeight="1" x14ac:dyDescent="0.3">
      <c r="A144" s="11" t="s">
        <v>578</v>
      </c>
      <c r="B144" s="12" t="s">
        <v>23</v>
      </c>
      <c r="C144" s="12" t="s">
        <v>579</v>
      </c>
      <c r="D144" s="13" t="s">
        <v>580</v>
      </c>
      <c r="E144" s="14" t="s">
        <v>581</v>
      </c>
      <c r="F144" s="15">
        <v>2023</v>
      </c>
      <c r="G144" s="13" t="s">
        <v>52</v>
      </c>
      <c r="H144" s="13" t="s">
        <v>52</v>
      </c>
      <c r="I144" s="11" t="s">
        <v>16</v>
      </c>
      <c r="J144" s="11" t="s">
        <v>52</v>
      </c>
    </row>
    <row r="145" spans="1:10" s="10" customFormat="1" ht="24.75" customHeight="1" x14ac:dyDescent="0.3">
      <c r="A145" s="11" t="s">
        <v>582</v>
      </c>
      <c r="B145" s="12" t="s">
        <v>23</v>
      </c>
      <c r="C145" s="12" t="s">
        <v>583</v>
      </c>
      <c r="D145" s="13" t="s">
        <v>584</v>
      </c>
      <c r="E145" s="14" t="s">
        <v>585</v>
      </c>
      <c r="F145" s="15">
        <v>2024</v>
      </c>
      <c r="G145" s="11" t="s">
        <v>15</v>
      </c>
      <c r="H145" s="11" t="s">
        <v>15</v>
      </c>
      <c r="I145" s="11" t="s">
        <v>16</v>
      </c>
      <c r="J145" s="11" t="s">
        <v>15</v>
      </c>
    </row>
    <row r="146" spans="1:10" s="10" customFormat="1" ht="24.75" customHeight="1" x14ac:dyDescent="0.3">
      <c r="A146" s="11" t="s">
        <v>586</v>
      </c>
      <c r="B146" s="12" t="s">
        <v>88</v>
      </c>
      <c r="C146" s="12" t="s">
        <v>587</v>
      </c>
      <c r="D146" s="21" t="s">
        <v>588</v>
      </c>
      <c r="E146" s="22" t="s">
        <v>589</v>
      </c>
      <c r="F146" s="15">
        <v>2023</v>
      </c>
      <c r="G146" s="11" t="s">
        <v>15</v>
      </c>
      <c r="H146" s="11" t="s">
        <v>15</v>
      </c>
      <c r="I146" s="11" t="s">
        <v>16</v>
      </c>
      <c r="J146" s="11" t="s">
        <v>15</v>
      </c>
    </row>
    <row r="147" spans="1:10" s="10" customFormat="1" ht="24.75" customHeight="1" x14ac:dyDescent="0.3">
      <c r="A147" s="11" t="s">
        <v>590</v>
      </c>
      <c r="B147" s="12" t="s">
        <v>23</v>
      </c>
      <c r="C147" s="12" t="s">
        <v>591</v>
      </c>
      <c r="D147" s="13" t="s">
        <v>592</v>
      </c>
      <c r="E147" s="14" t="s">
        <v>593</v>
      </c>
      <c r="F147" s="15">
        <v>2011</v>
      </c>
      <c r="G147" s="11" t="s">
        <v>15</v>
      </c>
      <c r="H147" s="11" t="s">
        <v>15</v>
      </c>
      <c r="I147" s="11" t="s">
        <v>16</v>
      </c>
      <c r="J147" s="11" t="s">
        <v>15</v>
      </c>
    </row>
    <row r="148" spans="1:10" s="10" customFormat="1" ht="24.75" customHeight="1" x14ac:dyDescent="0.3">
      <c r="A148" s="11" t="s">
        <v>594</v>
      </c>
      <c r="B148" s="12" t="s">
        <v>23</v>
      </c>
      <c r="C148" s="12" t="s">
        <v>595</v>
      </c>
      <c r="D148" s="13" t="s">
        <v>596</v>
      </c>
      <c r="E148" s="14" t="s">
        <v>597</v>
      </c>
      <c r="F148" s="15">
        <v>2020</v>
      </c>
      <c r="G148" s="11" t="s">
        <v>15</v>
      </c>
      <c r="H148" s="11" t="s">
        <v>15</v>
      </c>
      <c r="I148" s="11" t="s">
        <v>16</v>
      </c>
      <c r="J148" s="11" t="s">
        <v>15</v>
      </c>
    </row>
    <row r="149" spans="1:10" s="10" customFormat="1" ht="24.75" customHeight="1" x14ac:dyDescent="0.3">
      <c r="A149" s="11" t="s">
        <v>598</v>
      </c>
      <c r="B149" s="12" t="s">
        <v>23</v>
      </c>
      <c r="C149" s="12" t="s">
        <v>599</v>
      </c>
      <c r="D149" s="13" t="s">
        <v>600</v>
      </c>
      <c r="E149" s="14" t="s">
        <v>601</v>
      </c>
      <c r="F149" s="15">
        <v>2022</v>
      </c>
      <c r="G149" s="11" t="s">
        <v>15</v>
      </c>
      <c r="H149" s="11" t="s">
        <v>15</v>
      </c>
      <c r="I149" s="11" t="s">
        <v>16</v>
      </c>
      <c r="J149" s="11" t="s">
        <v>15</v>
      </c>
    </row>
    <row r="150" spans="1:10" s="10" customFormat="1" ht="24.75" customHeight="1" x14ac:dyDescent="0.3">
      <c r="A150" s="11" t="s">
        <v>602</v>
      </c>
      <c r="B150" s="12" t="s">
        <v>23</v>
      </c>
      <c r="C150" s="12" t="s">
        <v>603</v>
      </c>
      <c r="D150" s="13" t="s">
        <v>604</v>
      </c>
      <c r="E150" s="14" t="s">
        <v>605</v>
      </c>
      <c r="F150" s="15">
        <v>2025</v>
      </c>
      <c r="G150" s="13" t="s">
        <v>52</v>
      </c>
      <c r="H150" s="13" t="s">
        <v>52</v>
      </c>
      <c r="I150" s="11" t="s">
        <v>16</v>
      </c>
      <c r="J150" s="11" t="s">
        <v>52</v>
      </c>
    </row>
    <row r="151" spans="1:10" s="10" customFormat="1" ht="24.75" customHeight="1" x14ac:dyDescent="0.3">
      <c r="A151" s="11" t="s">
        <v>606</v>
      </c>
      <c r="B151" s="12" t="s">
        <v>18</v>
      </c>
      <c r="C151" s="12" t="s">
        <v>607</v>
      </c>
      <c r="D151" s="13" t="s">
        <v>608</v>
      </c>
      <c r="E151" s="14" t="s">
        <v>609</v>
      </c>
      <c r="F151" s="15">
        <v>2018</v>
      </c>
      <c r="G151" s="11" t="s">
        <v>15</v>
      </c>
      <c r="H151" s="11" t="s">
        <v>15</v>
      </c>
      <c r="I151" s="11" t="s">
        <v>16</v>
      </c>
      <c r="J151" s="11" t="s">
        <v>15</v>
      </c>
    </row>
    <row r="152" spans="1:10" s="10" customFormat="1" ht="24.75" customHeight="1" x14ac:dyDescent="0.3">
      <c r="A152" s="11" t="s">
        <v>610</v>
      </c>
      <c r="B152" s="12" t="s">
        <v>23</v>
      </c>
      <c r="C152" s="12" t="s">
        <v>611</v>
      </c>
      <c r="D152" s="13" t="s">
        <v>612</v>
      </c>
      <c r="E152" s="14" t="s">
        <v>613</v>
      </c>
      <c r="F152" s="15">
        <v>2023</v>
      </c>
      <c r="G152" s="11" t="s">
        <v>15</v>
      </c>
      <c r="H152" s="11" t="s">
        <v>15</v>
      </c>
      <c r="I152" s="11" t="s">
        <v>16</v>
      </c>
      <c r="J152" s="11" t="s">
        <v>15</v>
      </c>
    </row>
    <row r="153" spans="1:10" s="10" customFormat="1" ht="24.75" customHeight="1" x14ac:dyDescent="0.3">
      <c r="A153" s="11" t="s">
        <v>614</v>
      </c>
      <c r="B153" s="12" t="s">
        <v>18</v>
      </c>
      <c r="C153" s="12" t="s">
        <v>615</v>
      </c>
      <c r="D153" s="13" t="s">
        <v>616</v>
      </c>
      <c r="E153" s="14" t="s">
        <v>617</v>
      </c>
      <c r="F153" s="15">
        <v>2008</v>
      </c>
      <c r="G153" s="13" t="s">
        <v>52</v>
      </c>
      <c r="H153" s="13" t="s">
        <v>52</v>
      </c>
      <c r="I153" s="11" t="s">
        <v>16</v>
      </c>
      <c r="J153" s="11" t="s">
        <v>52</v>
      </c>
    </row>
    <row r="154" spans="1:10" s="10" customFormat="1" ht="24.75" customHeight="1" x14ac:dyDescent="0.3">
      <c r="A154" s="11" t="s">
        <v>618</v>
      </c>
      <c r="B154" s="12" t="s">
        <v>44</v>
      </c>
      <c r="C154" s="12" t="s">
        <v>619</v>
      </c>
      <c r="D154" s="13" t="s">
        <v>620</v>
      </c>
      <c r="E154" s="14" t="s">
        <v>621</v>
      </c>
      <c r="F154" s="15">
        <v>2024</v>
      </c>
      <c r="G154" s="11" t="s">
        <v>15</v>
      </c>
      <c r="H154" s="11" t="s">
        <v>15</v>
      </c>
      <c r="I154" s="11" t="s">
        <v>16</v>
      </c>
      <c r="J154" s="11" t="s">
        <v>15</v>
      </c>
    </row>
    <row r="155" spans="1:10" s="10" customFormat="1" ht="24.75" customHeight="1" x14ac:dyDescent="0.3">
      <c r="A155" s="11" t="s">
        <v>622</v>
      </c>
      <c r="B155" s="12" t="s">
        <v>88</v>
      </c>
      <c r="C155" s="12" t="s">
        <v>623</v>
      </c>
      <c r="D155" s="13" t="s">
        <v>624</v>
      </c>
      <c r="E155" s="16"/>
      <c r="F155" s="18"/>
      <c r="G155" s="13" t="s">
        <v>52</v>
      </c>
      <c r="H155" s="13" t="s">
        <v>52</v>
      </c>
      <c r="I155" s="11" t="s">
        <v>16</v>
      </c>
      <c r="J155" s="11" t="s">
        <v>52</v>
      </c>
    </row>
    <row r="156" spans="1:10" s="10" customFormat="1" ht="24.75" customHeight="1" x14ac:dyDescent="0.3">
      <c r="A156" s="11" t="s">
        <v>625</v>
      </c>
      <c r="B156" s="12" t="s">
        <v>88</v>
      </c>
      <c r="C156" s="12" t="s">
        <v>626</v>
      </c>
      <c r="D156" s="13" t="s">
        <v>627</v>
      </c>
      <c r="E156" s="14" t="s">
        <v>628</v>
      </c>
      <c r="F156" s="15">
        <v>2024</v>
      </c>
      <c r="G156" s="13" t="s">
        <v>52</v>
      </c>
      <c r="H156" s="13" t="s">
        <v>15</v>
      </c>
      <c r="I156" s="11" t="s">
        <v>53</v>
      </c>
      <c r="J156" s="11" t="s">
        <v>52</v>
      </c>
    </row>
    <row r="157" spans="1:10" s="10" customFormat="1" ht="24.75" customHeight="1" x14ac:dyDescent="0.3">
      <c r="A157" s="11" t="s">
        <v>629</v>
      </c>
      <c r="B157" s="12" t="s">
        <v>18</v>
      </c>
      <c r="C157" s="12" t="s">
        <v>630</v>
      </c>
      <c r="D157" s="13" t="s">
        <v>631</v>
      </c>
      <c r="E157" s="14" t="s">
        <v>632</v>
      </c>
      <c r="F157" s="15">
        <v>2020</v>
      </c>
      <c r="G157" s="13" t="s">
        <v>52</v>
      </c>
      <c r="H157" s="13" t="s">
        <v>52</v>
      </c>
      <c r="I157" s="11" t="s">
        <v>16</v>
      </c>
      <c r="J157" s="11" t="s">
        <v>52</v>
      </c>
    </row>
    <row r="158" spans="1:10" s="10" customFormat="1" ht="24.75" customHeight="1" x14ac:dyDescent="0.3">
      <c r="A158" s="11" t="s">
        <v>633</v>
      </c>
      <c r="B158" s="12" t="s">
        <v>18</v>
      </c>
      <c r="C158" s="12" t="s">
        <v>634</v>
      </c>
      <c r="D158" s="13" t="s">
        <v>635</v>
      </c>
      <c r="E158" s="14" t="s">
        <v>636</v>
      </c>
      <c r="F158" s="15">
        <v>2003</v>
      </c>
      <c r="G158" s="13" t="s">
        <v>52</v>
      </c>
      <c r="H158" s="13" t="s">
        <v>52</v>
      </c>
      <c r="I158" s="11" t="s">
        <v>16</v>
      </c>
      <c r="J158" s="11" t="s">
        <v>52</v>
      </c>
    </row>
    <row r="159" spans="1:10" s="10" customFormat="1" ht="24.75" customHeight="1" x14ac:dyDescent="0.3">
      <c r="A159" s="11" t="s">
        <v>637</v>
      </c>
      <c r="B159" s="12" t="s">
        <v>23</v>
      </c>
      <c r="C159" s="12" t="s">
        <v>638</v>
      </c>
      <c r="D159" s="13" t="s">
        <v>639</v>
      </c>
      <c r="E159" s="16"/>
      <c r="F159" s="18"/>
      <c r="G159" s="13" t="s">
        <v>52</v>
      </c>
      <c r="H159" s="13" t="s">
        <v>52</v>
      </c>
      <c r="I159" s="11" t="s">
        <v>16</v>
      </c>
      <c r="J159" s="11" t="s">
        <v>52</v>
      </c>
    </row>
    <row r="160" spans="1:10" s="10" customFormat="1" ht="24.75" customHeight="1" x14ac:dyDescent="0.3">
      <c r="A160" s="11" t="s">
        <v>640</v>
      </c>
      <c r="B160" s="12" t="s">
        <v>67</v>
      </c>
      <c r="C160" s="12" t="s">
        <v>641</v>
      </c>
      <c r="D160" s="13" t="s">
        <v>642</v>
      </c>
      <c r="E160" s="14" t="s">
        <v>643</v>
      </c>
      <c r="F160" s="15">
        <v>2025</v>
      </c>
      <c r="G160" s="13" t="s">
        <v>52</v>
      </c>
      <c r="H160" s="13" t="s">
        <v>52</v>
      </c>
      <c r="I160" s="11" t="s">
        <v>16</v>
      </c>
      <c r="J160" s="11" t="s">
        <v>52</v>
      </c>
    </row>
    <row r="161" spans="1:10" s="10" customFormat="1" ht="24.75" customHeight="1" x14ac:dyDescent="0.3">
      <c r="A161" s="11" t="s">
        <v>644</v>
      </c>
      <c r="B161" s="12" t="s">
        <v>18</v>
      </c>
      <c r="C161" s="12" t="s">
        <v>645</v>
      </c>
      <c r="D161" s="13" t="s">
        <v>646</v>
      </c>
      <c r="E161" s="14" t="s">
        <v>647</v>
      </c>
      <c r="F161" s="15">
        <v>2021</v>
      </c>
      <c r="G161" s="11" t="s">
        <v>15</v>
      </c>
      <c r="H161" s="11" t="s">
        <v>15</v>
      </c>
      <c r="I161" s="11" t="s">
        <v>16</v>
      </c>
      <c r="J161" s="11" t="s">
        <v>15</v>
      </c>
    </row>
    <row r="162" spans="1:10" s="10" customFormat="1" ht="24.75" customHeight="1" x14ac:dyDescent="0.3">
      <c r="A162" s="11" t="s">
        <v>648</v>
      </c>
      <c r="B162" s="12" t="s">
        <v>23</v>
      </c>
      <c r="C162" s="12" t="s">
        <v>649</v>
      </c>
      <c r="D162" s="13" t="s">
        <v>650</v>
      </c>
      <c r="E162" s="14" t="s">
        <v>651</v>
      </c>
      <c r="F162" s="15">
        <v>2023</v>
      </c>
      <c r="G162" s="11" t="s">
        <v>15</v>
      </c>
      <c r="H162" s="11" t="s">
        <v>15</v>
      </c>
      <c r="I162" s="11" t="s">
        <v>16</v>
      </c>
      <c r="J162" s="11" t="s">
        <v>15</v>
      </c>
    </row>
    <row r="163" spans="1:10" s="10" customFormat="1" ht="24.75" customHeight="1" x14ac:dyDescent="0.3">
      <c r="A163" s="11" t="s">
        <v>652</v>
      </c>
      <c r="B163" s="12" t="s">
        <v>23</v>
      </c>
      <c r="C163" s="12" t="s">
        <v>653</v>
      </c>
      <c r="D163" s="13" t="s">
        <v>654</v>
      </c>
      <c r="E163" s="16"/>
      <c r="F163" s="18"/>
      <c r="G163" s="13" t="s">
        <v>52</v>
      </c>
      <c r="H163" s="13" t="s">
        <v>52</v>
      </c>
      <c r="I163" s="11" t="s">
        <v>16</v>
      </c>
      <c r="J163" s="11" t="s">
        <v>52</v>
      </c>
    </row>
    <row r="164" spans="1:10" s="10" customFormat="1" ht="24.75" customHeight="1" x14ac:dyDescent="0.3">
      <c r="A164" s="11" t="s">
        <v>655</v>
      </c>
      <c r="B164" s="12" t="s">
        <v>67</v>
      </c>
      <c r="C164" s="12" t="s">
        <v>656</v>
      </c>
      <c r="D164" s="16" t="s">
        <v>657</v>
      </c>
      <c r="E164" s="16"/>
      <c r="F164" s="18">
        <v>2012</v>
      </c>
      <c r="G164" s="13" t="s">
        <v>52</v>
      </c>
      <c r="H164" s="13" t="s">
        <v>52</v>
      </c>
      <c r="I164" s="11" t="s">
        <v>16</v>
      </c>
      <c r="J164" s="11" t="s">
        <v>52</v>
      </c>
    </row>
    <row r="165" spans="1:10" s="10" customFormat="1" ht="24.75" customHeight="1" x14ac:dyDescent="0.3">
      <c r="A165" s="11" t="s">
        <v>658</v>
      </c>
      <c r="B165" s="12" t="s">
        <v>23</v>
      </c>
      <c r="C165" s="12" t="s">
        <v>659</v>
      </c>
      <c r="D165" s="13" t="s">
        <v>660</v>
      </c>
      <c r="E165" s="14" t="s">
        <v>661</v>
      </c>
      <c r="F165" s="15">
        <v>2025</v>
      </c>
      <c r="G165" s="13" t="s">
        <v>52</v>
      </c>
      <c r="H165" s="13" t="s">
        <v>15</v>
      </c>
      <c r="I165" s="11" t="s">
        <v>53</v>
      </c>
      <c r="J165" s="11" t="s">
        <v>52</v>
      </c>
    </row>
    <row r="166" spans="1:10" s="10" customFormat="1" ht="24.75" customHeight="1" x14ac:dyDescent="0.3">
      <c r="A166" s="11" t="s">
        <v>662</v>
      </c>
      <c r="B166" s="12" t="s">
        <v>88</v>
      </c>
      <c r="C166" s="12" t="s">
        <v>663</v>
      </c>
      <c r="D166" s="13" t="s">
        <v>664</v>
      </c>
      <c r="E166" s="14" t="s">
        <v>665</v>
      </c>
      <c r="F166" s="15">
        <v>2025</v>
      </c>
      <c r="G166" s="11" t="s">
        <v>15</v>
      </c>
      <c r="H166" s="11" t="s">
        <v>15</v>
      </c>
      <c r="I166" s="11" t="s">
        <v>16</v>
      </c>
      <c r="J166" s="11" t="s">
        <v>15</v>
      </c>
    </row>
    <row r="167" spans="1:10" s="10" customFormat="1" ht="24.75" customHeight="1" x14ac:dyDescent="0.3">
      <c r="A167" s="11" t="s">
        <v>666</v>
      </c>
      <c r="B167" s="12" t="s">
        <v>88</v>
      </c>
      <c r="C167" s="12" t="s">
        <v>667</v>
      </c>
      <c r="D167" s="13" t="s">
        <v>668</v>
      </c>
      <c r="E167" s="14" t="s">
        <v>669</v>
      </c>
      <c r="F167" s="15">
        <v>2024</v>
      </c>
      <c r="G167" s="11" t="s">
        <v>15</v>
      </c>
      <c r="H167" s="11" t="s">
        <v>15</v>
      </c>
      <c r="I167" s="11" t="s">
        <v>16</v>
      </c>
      <c r="J167" s="11" t="s">
        <v>15</v>
      </c>
    </row>
    <row r="168" spans="1:10" s="10" customFormat="1" ht="24.75" customHeight="1" x14ac:dyDescent="0.3">
      <c r="A168" s="11" t="s">
        <v>670</v>
      </c>
      <c r="B168" s="12" t="s">
        <v>23</v>
      </c>
      <c r="C168" s="12" t="s">
        <v>671</v>
      </c>
      <c r="D168" s="13" t="s">
        <v>672</v>
      </c>
      <c r="E168" s="14" t="s">
        <v>673</v>
      </c>
      <c r="F168" s="15">
        <v>2026</v>
      </c>
      <c r="G168" s="13" t="s">
        <v>15</v>
      </c>
      <c r="H168" s="13" t="s">
        <v>52</v>
      </c>
      <c r="I168" s="11" t="s">
        <v>53</v>
      </c>
      <c r="J168" s="11" t="s">
        <v>52</v>
      </c>
    </row>
    <row r="169" spans="1:10" s="10" customFormat="1" ht="24.75" customHeight="1" x14ac:dyDescent="0.3">
      <c r="A169" s="11" t="s">
        <v>674</v>
      </c>
      <c r="B169" s="12" t="s">
        <v>23</v>
      </c>
      <c r="C169" s="12" t="s">
        <v>675</v>
      </c>
      <c r="D169" s="13" t="s">
        <v>676</v>
      </c>
      <c r="E169" s="14" t="s">
        <v>677</v>
      </c>
      <c r="F169" s="15">
        <v>2025</v>
      </c>
      <c r="G169" s="11" t="s">
        <v>15</v>
      </c>
      <c r="H169" s="11" t="s">
        <v>15</v>
      </c>
      <c r="I169" s="11" t="s">
        <v>16</v>
      </c>
      <c r="J169" s="11" t="s">
        <v>15</v>
      </c>
    </row>
    <row r="170" spans="1:10" s="10" customFormat="1" ht="24.75" customHeight="1" x14ac:dyDescent="0.3">
      <c r="A170" s="11" t="s">
        <v>678</v>
      </c>
      <c r="B170" s="12" t="s">
        <v>23</v>
      </c>
      <c r="C170" s="12" t="s">
        <v>679</v>
      </c>
      <c r="D170" s="13" t="s">
        <v>680</v>
      </c>
      <c r="E170" s="14" t="s">
        <v>681</v>
      </c>
      <c r="F170" s="15">
        <v>2023</v>
      </c>
      <c r="G170" s="11" t="s">
        <v>15</v>
      </c>
      <c r="H170" s="11" t="s">
        <v>15</v>
      </c>
      <c r="I170" s="11" t="s">
        <v>16</v>
      </c>
      <c r="J170" s="11" t="s">
        <v>15</v>
      </c>
    </row>
    <row r="171" spans="1:10" s="10" customFormat="1" ht="24.75" customHeight="1" x14ac:dyDescent="0.3">
      <c r="A171" s="11" t="s">
        <v>682</v>
      </c>
      <c r="B171" s="12" t="s">
        <v>67</v>
      </c>
      <c r="C171" s="12" t="s">
        <v>683</v>
      </c>
      <c r="D171" s="13" t="s">
        <v>684</v>
      </c>
      <c r="E171" s="14" t="s">
        <v>685</v>
      </c>
      <c r="F171" s="15">
        <v>2024</v>
      </c>
      <c r="G171" s="13" t="s">
        <v>52</v>
      </c>
      <c r="H171" s="13" t="s">
        <v>52</v>
      </c>
      <c r="I171" s="11" t="s">
        <v>16</v>
      </c>
      <c r="J171" s="11" t="s">
        <v>52</v>
      </c>
    </row>
    <row r="172" spans="1:10" s="10" customFormat="1" ht="24.75" customHeight="1" x14ac:dyDescent="0.3">
      <c r="A172" s="11" t="s">
        <v>686</v>
      </c>
      <c r="B172" s="12" t="s">
        <v>67</v>
      </c>
      <c r="C172" s="12" t="s">
        <v>687</v>
      </c>
      <c r="D172" s="13" t="s">
        <v>688</v>
      </c>
      <c r="E172" s="14" t="s">
        <v>689</v>
      </c>
      <c r="F172" s="15">
        <v>2010</v>
      </c>
      <c r="G172" s="11" t="s">
        <v>15</v>
      </c>
      <c r="H172" s="11" t="s">
        <v>15</v>
      </c>
      <c r="I172" s="11" t="s">
        <v>16</v>
      </c>
      <c r="J172" s="11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4"/>
  <sheetViews>
    <sheetView showGridLines="0" topLeftCell="A100" zoomScaleNormal="100" workbookViewId="0">
      <selection activeCell="C112" sqref="C112"/>
    </sheetView>
  </sheetViews>
  <sheetFormatPr defaultColWidth="8.88671875" defaultRowHeight="14.4" x14ac:dyDescent="0.3"/>
  <cols>
    <col min="1" max="1" width="8.88671875" style="1"/>
    <col min="2" max="2" width="18" style="1" customWidth="1"/>
    <col min="3" max="3" width="28.21875" style="1" customWidth="1"/>
    <col min="4" max="4" width="64.44140625" style="2" customWidth="1"/>
    <col min="5" max="5" width="34.109375" style="3" customWidth="1"/>
    <col min="6" max="6" width="12" style="4" customWidth="1"/>
    <col min="7" max="7" width="20.109375" style="1" customWidth="1"/>
    <col min="8" max="8" width="19.109375" style="1" customWidth="1"/>
    <col min="9" max="9" width="8.88671875" style="1"/>
    <col min="10" max="10" width="13" style="1" customWidth="1"/>
    <col min="11" max="11" width="26" style="1" customWidth="1"/>
    <col min="12" max="16384" width="8.88671875" style="1"/>
  </cols>
  <sheetData>
    <row r="1" spans="1:11" s="10" customFormat="1" ht="24.75" customHeight="1" x14ac:dyDescent="0.3">
      <c r="A1" s="5" t="s">
        <v>0</v>
      </c>
      <c r="B1" s="6" t="s">
        <v>1</v>
      </c>
      <c r="C1" s="5" t="s">
        <v>2</v>
      </c>
      <c r="D1" s="7" t="s">
        <v>3</v>
      </c>
      <c r="E1" s="8" t="s">
        <v>4</v>
      </c>
      <c r="F1" s="9" t="s">
        <v>5</v>
      </c>
      <c r="G1" s="5" t="s">
        <v>6</v>
      </c>
      <c r="H1" s="5" t="s">
        <v>7</v>
      </c>
      <c r="I1" s="5" t="s">
        <v>8</v>
      </c>
      <c r="J1" s="8" t="s">
        <v>9</v>
      </c>
      <c r="K1" s="23" t="s">
        <v>690</v>
      </c>
    </row>
    <row r="2" spans="1:11" s="10" customFormat="1" ht="24.75" customHeight="1" x14ac:dyDescent="0.3">
      <c r="A2" s="11" t="s">
        <v>10</v>
      </c>
      <c r="B2" s="12" t="s">
        <v>11</v>
      </c>
      <c r="C2" s="12" t="s">
        <v>12</v>
      </c>
      <c r="D2" s="13" t="s">
        <v>13</v>
      </c>
      <c r="E2" s="14" t="s">
        <v>14</v>
      </c>
      <c r="F2" s="15">
        <v>2024</v>
      </c>
      <c r="G2" s="11" t="s">
        <v>15</v>
      </c>
      <c r="H2" s="11" t="s">
        <v>15</v>
      </c>
      <c r="I2" s="11" t="s">
        <v>16</v>
      </c>
      <c r="J2" s="11" t="s">
        <v>15</v>
      </c>
      <c r="K2" s="24"/>
    </row>
    <row r="3" spans="1:11" s="10" customFormat="1" ht="24.75" customHeight="1" x14ac:dyDescent="0.3">
      <c r="A3" s="11" t="s">
        <v>17</v>
      </c>
      <c r="B3" s="12" t="s">
        <v>18</v>
      </c>
      <c r="C3" s="12" t="s">
        <v>19</v>
      </c>
      <c r="D3" s="13" t="s">
        <v>20</v>
      </c>
      <c r="E3" s="14" t="s">
        <v>21</v>
      </c>
      <c r="F3" s="15">
        <v>2023</v>
      </c>
      <c r="G3" s="11" t="s">
        <v>15</v>
      </c>
      <c r="H3" s="11" t="s">
        <v>15</v>
      </c>
      <c r="I3" s="11" t="s">
        <v>16</v>
      </c>
      <c r="J3" s="11" t="s">
        <v>15</v>
      </c>
      <c r="K3" s="24"/>
    </row>
    <row r="4" spans="1:11" s="10" customFormat="1" ht="24.75" customHeight="1" x14ac:dyDescent="0.3">
      <c r="A4" s="11" t="s">
        <v>22</v>
      </c>
      <c r="B4" s="12" t="s">
        <v>23</v>
      </c>
      <c r="C4" s="12" t="s">
        <v>24</v>
      </c>
      <c r="D4" s="13" t="s">
        <v>25</v>
      </c>
      <c r="E4" s="14" t="s">
        <v>26</v>
      </c>
      <c r="F4" s="15">
        <v>2021</v>
      </c>
      <c r="G4" s="11" t="s">
        <v>15</v>
      </c>
      <c r="H4" s="11" t="s">
        <v>15</v>
      </c>
      <c r="I4" s="11" t="s">
        <v>16</v>
      </c>
      <c r="J4" s="11" t="s">
        <v>15</v>
      </c>
      <c r="K4" s="24"/>
    </row>
    <row r="5" spans="1:11" s="10" customFormat="1" ht="24.75" customHeight="1" x14ac:dyDescent="0.3">
      <c r="A5" s="11" t="s">
        <v>27</v>
      </c>
      <c r="B5" s="12" t="s">
        <v>23</v>
      </c>
      <c r="C5" s="12" t="s">
        <v>28</v>
      </c>
      <c r="D5" s="13" t="s">
        <v>29</v>
      </c>
      <c r="E5" s="14" t="s">
        <v>30</v>
      </c>
      <c r="F5" s="15">
        <v>2022</v>
      </c>
      <c r="G5" s="11" t="s">
        <v>15</v>
      </c>
      <c r="H5" s="11" t="s">
        <v>15</v>
      </c>
      <c r="I5" s="11" t="s">
        <v>16</v>
      </c>
      <c r="J5" s="11" t="s">
        <v>15</v>
      </c>
      <c r="K5" s="24"/>
    </row>
    <row r="6" spans="1:11" s="10" customFormat="1" ht="24.75" customHeight="1" x14ac:dyDescent="0.3">
      <c r="A6" s="11" t="s">
        <v>31</v>
      </c>
      <c r="B6" s="12" t="s">
        <v>18</v>
      </c>
      <c r="C6" s="12" t="s">
        <v>32</v>
      </c>
      <c r="D6" s="13" t="s">
        <v>33</v>
      </c>
      <c r="E6" s="14" t="s">
        <v>34</v>
      </c>
      <c r="F6" s="15">
        <v>2024</v>
      </c>
      <c r="G6" s="11" t="s">
        <v>52</v>
      </c>
      <c r="H6" s="11" t="s">
        <v>15</v>
      </c>
      <c r="I6" s="11" t="s">
        <v>53</v>
      </c>
      <c r="J6" s="11" t="s">
        <v>52</v>
      </c>
      <c r="K6" s="24"/>
    </row>
    <row r="7" spans="1:11" s="10" customFormat="1" ht="24.75" customHeight="1" x14ac:dyDescent="0.3">
      <c r="A7" s="11" t="s">
        <v>35</v>
      </c>
      <c r="B7" s="12" t="s">
        <v>23</v>
      </c>
      <c r="C7" s="12" t="s">
        <v>36</v>
      </c>
      <c r="D7" s="13" t="s">
        <v>37</v>
      </c>
      <c r="E7" s="14" t="s">
        <v>38</v>
      </c>
      <c r="F7" s="15">
        <v>2021</v>
      </c>
      <c r="G7" s="11" t="s">
        <v>15</v>
      </c>
      <c r="H7" s="11" t="s">
        <v>15</v>
      </c>
      <c r="I7" s="11" t="s">
        <v>16</v>
      </c>
      <c r="J7" s="11" t="s">
        <v>15</v>
      </c>
      <c r="K7" s="24"/>
    </row>
    <row r="8" spans="1:11" s="10" customFormat="1" ht="24.75" customHeight="1" x14ac:dyDescent="0.3">
      <c r="A8" s="11" t="s">
        <v>39</v>
      </c>
      <c r="B8" s="12" t="s">
        <v>23</v>
      </c>
      <c r="C8" s="12" t="s">
        <v>40</v>
      </c>
      <c r="D8" s="13" t="s">
        <v>41</v>
      </c>
      <c r="E8" s="14" t="s">
        <v>42</v>
      </c>
      <c r="F8" s="15">
        <v>2020</v>
      </c>
      <c r="G8" s="11" t="s">
        <v>52</v>
      </c>
      <c r="H8" s="11" t="s">
        <v>52</v>
      </c>
      <c r="I8" s="11" t="s">
        <v>16</v>
      </c>
      <c r="J8" s="11" t="s">
        <v>52</v>
      </c>
      <c r="K8" s="24"/>
    </row>
    <row r="9" spans="1:11" s="10" customFormat="1" ht="24.75" customHeight="1" x14ac:dyDescent="0.3">
      <c r="A9" s="11" t="s">
        <v>43</v>
      </c>
      <c r="B9" s="12" t="s">
        <v>44</v>
      </c>
      <c r="C9" s="12" t="s">
        <v>45</v>
      </c>
      <c r="D9" s="13" t="s">
        <v>46</v>
      </c>
      <c r="E9" s="14" t="s">
        <v>47</v>
      </c>
      <c r="F9" s="15">
        <v>2020</v>
      </c>
      <c r="G9" s="11" t="s">
        <v>15</v>
      </c>
      <c r="H9" s="11" t="s">
        <v>15</v>
      </c>
      <c r="I9" s="11" t="s">
        <v>16</v>
      </c>
      <c r="J9" s="11" t="s">
        <v>15</v>
      </c>
      <c r="K9" s="24"/>
    </row>
    <row r="10" spans="1:11" s="10" customFormat="1" ht="24.75" customHeight="1" x14ac:dyDescent="0.3">
      <c r="A10" s="11" t="s">
        <v>48</v>
      </c>
      <c r="B10" s="12" t="s">
        <v>23</v>
      </c>
      <c r="C10" s="12" t="s">
        <v>49</v>
      </c>
      <c r="D10" s="13" t="s">
        <v>50</v>
      </c>
      <c r="E10" s="14" t="s">
        <v>51</v>
      </c>
      <c r="F10" s="15">
        <v>2021</v>
      </c>
      <c r="G10" s="11" t="s">
        <v>52</v>
      </c>
      <c r="H10" s="11" t="s">
        <v>15</v>
      </c>
      <c r="I10" s="11" t="s">
        <v>53</v>
      </c>
      <c r="J10" s="11" t="s">
        <v>52</v>
      </c>
      <c r="K10" s="24"/>
    </row>
    <row r="11" spans="1:11" s="10" customFormat="1" ht="24.75" customHeight="1" x14ac:dyDescent="0.3">
      <c r="A11" s="11" t="s">
        <v>54</v>
      </c>
      <c r="B11" s="12" t="s">
        <v>18</v>
      </c>
      <c r="C11" s="12" t="s">
        <v>55</v>
      </c>
      <c r="D11" s="13" t="s">
        <v>56</v>
      </c>
      <c r="E11" s="14" t="s">
        <v>57</v>
      </c>
      <c r="F11" s="15">
        <v>2024</v>
      </c>
      <c r="G11" s="11" t="s">
        <v>52</v>
      </c>
      <c r="H11" s="11" t="s">
        <v>52</v>
      </c>
      <c r="I11" s="11" t="s">
        <v>16</v>
      </c>
      <c r="J11" s="11" t="s">
        <v>52</v>
      </c>
      <c r="K11" s="24"/>
    </row>
    <row r="12" spans="1:11" s="10" customFormat="1" ht="24.75" customHeight="1" x14ac:dyDescent="0.3">
      <c r="A12" s="11" t="s">
        <v>58</v>
      </c>
      <c r="B12" s="12" t="s">
        <v>23</v>
      </c>
      <c r="C12" s="12" t="s">
        <v>59</v>
      </c>
      <c r="D12" s="13" t="s">
        <v>60</v>
      </c>
      <c r="E12" s="14" t="s">
        <v>61</v>
      </c>
      <c r="F12" s="15">
        <v>2020</v>
      </c>
      <c r="G12" s="11" t="s">
        <v>15</v>
      </c>
      <c r="H12" s="11" t="s">
        <v>15</v>
      </c>
      <c r="I12" s="11" t="s">
        <v>16</v>
      </c>
      <c r="J12" s="11" t="s">
        <v>15</v>
      </c>
      <c r="K12" s="24"/>
    </row>
    <row r="13" spans="1:11" s="10" customFormat="1" ht="24.75" customHeight="1" x14ac:dyDescent="0.3">
      <c r="A13" s="11" t="s">
        <v>62</v>
      </c>
      <c r="B13" s="12" t="s">
        <v>23</v>
      </c>
      <c r="C13" s="12" t="s">
        <v>63</v>
      </c>
      <c r="D13" s="13" t="s">
        <v>64</v>
      </c>
      <c r="E13" s="14" t="s">
        <v>65</v>
      </c>
      <c r="F13" s="15">
        <v>2022</v>
      </c>
      <c r="G13" s="11" t="s">
        <v>15</v>
      </c>
      <c r="H13" s="11" t="s">
        <v>15</v>
      </c>
      <c r="I13" s="11" t="s">
        <v>16</v>
      </c>
      <c r="J13" s="11" t="s">
        <v>15</v>
      </c>
      <c r="K13" s="24"/>
    </row>
    <row r="14" spans="1:11" s="10" customFormat="1" ht="24.75" customHeight="1" x14ac:dyDescent="0.3">
      <c r="A14" s="11" t="s">
        <v>83</v>
      </c>
      <c r="B14" s="12" t="s">
        <v>23</v>
      </c>
      <c r="C14" s="12" t="s">
        <v>84</v>
      </c>
      <c r="D14" s="13" t="s">
        <v>85</v>
      </c>
      <c r="E14" s="14" t="s">
        <v>86</v>
      </c>
      <c r="F14" s="15">
        <v>2018</v>
      </c>
      <c r="G14" s="11" t="s">
        <v>15</v>
      </c>
      <c r="H14" s="11" t="s">
        <v>15</v>
      </c>
      <c r="I14" s="11" t="s">
        <v>16</v>
      </c>
      <c r="J14" s="11" t="s">
        <v>15</v>
      </c>
      <c r="K14" s="24"/>
    </row>
    <row r="15" spans="1:11" s="10" customFormat="1" ht="24.75" customHeight="1" x14ac:dyDescent="0.3">
      <c r="A15" s="11" t="s">
        <v>87</v>
      </c>
      <c r="B15" s="12" t="s">
        <v>88</v>
      </c>
      <c r="C15" s="12" t="s">
        <v>89</v>
      </c>
      <c r="D15" s="13" t="s">
        <v>90</v>
      </c>
      <c r="E15" s="14" t="s">
        <v>91</v>
      </c>
      <c r="F15" s="15">
        <v>2021</v>
      </c>
      <c r="G15" s="11" t="s">
        <v>15</v>
      </c>
      <c r="H15" s="11" t="s">
        <v>15</v>
      </c>
      <c r="I15" s="11" t="s">
        <v>16</v>
      </c>
      <c r="J15" s="11" t="s">
        <v>15</v>
      </c>
      <c r="K15" s="24"/>
    </row>
    <row r="16" spans="1:11" s="10" customFormat="1" ht="24.75" customHeight="1" x14ac:dyDescent="0.3">
      <c r="A16" s="11" t="s">
        <v>96</v>
      </c>
      <c r="B16" s="12" t="s">
        <v>44</v>
      </c>
      <c r="C16" s="12" t="s">
        <v>97</v>
      </c>
      <c r="D16" s="13" t="s">
        <v>98</v>
      </c>
      <c r="E16" s="14" t="s">
        <v>99</v>
      </c>
      <c r="F16" s="15">
        <v>2019</v>
      </c>
      <c r="G16" s="11" t="s">
        <v>15</v>
      </c>
      <c r="H16" s="11" t="s">
        <v>15</v>
      </c>
      <c r="I16" s="11" t="s">
        <v>16</v>
      </c>
      <c r="J16" s="11" t="s">
        <v>15</v>
      </c>
      <c r="K16" s="24"/>
    </row>
    <row r="17" spans="1:11" s="10" customFormat="1" ht="24.75" customHeight="1" x14ac:dyDescent="0.3">
      <c r="A17" s="11" t="s">
        <v>100</v>
      </c>
      <c r="B17" s="12" t="s">
        <v>23</v>
      </c>
      <c r="C17" s="12" t="s">
        <v>101</v>
      </c>
      <c r="D17" s="16" t="s">
        <v>102</v>
      </c>
      <c r="E17" s="17" t="s">
        <v>103</v>
      </c>
      <c r="F17" s="15">
        <v>2025</v>
      </c>
      <c r="G17" s="13" t="s">
        <v>15</v>
      </c>
      <c r="H17" s="13" t="s">
        <v>15</v>
      </c>
      <c r="I17" s="11" t="s">
        <v>16</v>
      </c>
      <c r="J17" s="11" t="s">
        <v>15</v>
      </c>
      <c r="K17" s="24"/>
    </row>
    <row r="18" spans="1:11" s="10" customFormat="1" ht="24.75" customHeight="1" x14ac:dyDescent="0.3">
      <c r="A18" s="11" t="s">
        <v>104</v>
      </c>
      <c r="B18" s="12" t="s">
        <v>67</v>
      </c>
      <c r="C18" s="12" t="s">
        <v>105</v>
      </c>
      <c r="D18" s="13" t="s">
        <v>106</v>
      </c>
      <c r="E18" s="14" t="s">
        <v>107</v>
      </c>
      <c r="F18" s="15">
        <v>2014</v>
      </c>
      <c r="G18" s="11" t="s">
        <v>15</v>
      </c>
      <c r="H18" s="11" t="s">
        <v>15</v>
      </c>
      <c r="I18" s="11" t="s">
        <v>16</v>
      </c>
      <c r="J18" s="11" t="s">
        <v>15</v>
      </c>
      <c r="K18" s="24"/>
    </row>
    <row r="19" spans="1:11" s="10" customFormat="1" ht="24.75" customHeight="1" x14ac:dyDescent="0.3">
      <c r="A19" s="11" t="s">
        <v>108</v>
      </c>
      <c r="B19" s="12" t="s">
        <v>67</v>
      </c>
      <c r="C19" s="12" t="s">
        <v>109</v>
      </c>
      <c r="D19" s="13" t="s">
        <v>110</v>
      </c>
      <c r="E19" s="14" t="s">
        <v>111</v>
      </c>
      <c r="F19" s="15">
        <v>2014</v>
      </c>
      <c r="G19" s="11" t="s">
        <v>15</v>
      </c>
      <c r="H19" s="11" t="s">
        <v>15</v>
      </c>
      <c r="I19" s="11" t="s">
        <v>16</v>
      </c>
      <c r="J19" s="11" t="s">
        <v>15</v>
      </c>
      <c r="K19" s="24"/>
    </row>
    <row r="20" spans="1:11" s="10" customFormat="1" ht="24.75" customHeight="1" x14ac:dyDescent="0.3">
      <c r="A20" s="11" t="s">
        <v>112</v>
      </c>
      <c r="B20" s="12" t="s">
        <v>67</v>
      </c>
      <c r="C20" s="12" t="s">
        <v>113</v>
      </c>
      <c r="D20" s="13" t="s">
        <v>114</v>
      </c>
      <c r="E20" s="14" t="s">
        <v>115</v>
      </c>
      <c r="F20" s="15">
        <v>2022</v>
      </c>
      <c r="G20" s="11" t="s">
        <v>15</v>
      </c>
      <c r="H20" s="11" t="s">
        <v>15</v>
      </c>
      <c r="I20" s="11" t="s">
        <v>16</v>
      </c>
      <c r="J20" s="11" t="s">
        <v>15</v>
      </c>
      <c r="K20" s="24"/>
    </row>
    <row r="21" spans="1:11" s="10" customFormat="1" ht="24.75" customHeight="1" x14ac:dyDescent="0.3">
      <c r="A21" s="11" t="s">
        <v>116</v>
      </c>
      <c r="B21" s="12" t="s">
        <v>67</v>
      </c>
      <c r="C21" s="12" t="s">
        <v>117</v>
      </c>
      <c r="D21" s="13" t="s">
        <v>118</v>
      </c>
      <c r="E21" s="14" t="s">
        <v>119</v>
      </c>
      <c r="F21" s="15">
        <v>2023</v>
      </c>
      <c r="G21" s="11" t="s">
        <v>15</v>
      </c>
      <c r="H21" s="11" t="s">
        <v>15</v>
      </c>
      <c r="I21" s="11" t="s">
        <v>16</v>
      </c>
      <c r="J21" s="11" t="s">
        <v>15</v>
      </c>
      <c r="K21" s="24"/>
    </row>
    <row r="22" spans="1:11" s="10" customFormat="1" ht="24.75" customHeight="1" x14ac:dyDescent="0.3">
      <c r="A22" s="11" t="s">
        <v>124</v>
      </c>
      <c r="B22" s="12" t="s">
        <v>67</v>
      </c>
      <c r="C22" s="12" t="s">
        <v>125</v>
      </c>
      <c r="D22" s="13" t="s">
        <v>126</v>
      </c>
      <c r="E22" s="14" t="s">
        <v>127</v>
      </c>
      <c r="F22" s="15">
        <v>2022</v>
      </c>
      <c r="G22" s="11" t="s">
        <v>15</v>
      </c>
      <c r="H22" s="11" t="s">
        <v>15</v>
      </c>
      <c r="I22" s="11" t="s">
        <v>16</v>
      </c>
      <c r="J22" s="11" t="s">
        <v>15</v>
      </c>
      <c r="K22" s="24"/>
    </row>
    <row r="23" spans="1:11" s="10" customFormat="1" ht="24.75" customHeight="1" x14ac:dyDescent="0.3">
      <c r="A23" s="11" t="s">
        <v>128</v>
      </c>
      <c r="B23" s="12" t="s">
        <v>67</v>
      </c>
      <c r="C23" s="12" t="s">
        <v>691</v>
      </c>
      <c r="D23" s="13" t="s">
        <v>130</v>
      </c>
      <c r="E23" s="14" t="s">
        <v>131</v>
      </c>
      <c r="F23" s="15">
        <v>2024</v>
      </c>
      <c r="G23" s="11" t="s">
        <v>15</v>
      </c>
      <c r="H23" s="11" t="s">
        <v>15</v>
      </c>
      <c r="I23" s="11" t="s">
        <v>16</v>
      </c>
      <c r="J23" s="11" t="s">
        <v>15</v>
      </c>
      <c r="K23" s="24"/>
    </row>
    <row r="24" spans="1:11" s="10" customFormat="1" ht="24.75" customHeight="1" x14ac:dyDescent="0.3">
      <c r="A24" s="11" t="s">
        <v>135</v>
      </c>
      <c r="B24" s="12" t="s">
        <v>44</v>
      </c>
      <c r="C24" s="12" t="s">
        <v>136</v>
      </c>
      <c r="D24" s="13" t="s">
        <v>137</v>
      </c>
      <c r="E24" s="14" t="s">
        <v>138</v>
      </c>
      <c r="F24" s="15">
        <v>2023</v>
      </c>
      <c r="G24" s="11" t="s">
        <v>15</v>
      </c>
      <c r="H24" s="11" t="s">
        <v>15</v>
      </c>
      <c r="I24" s="11" t="s">
        <v>16</v>
      </c>
      <c r="J24" s="11" t="s">
        <v>15</v>
      </c>
      <c r="K24" s="24"/>
    </row>
    <row r="25" spans="1:11" s="10" customFormat="1" ht="24.75" customHeight="1" x14ac:dyDescent="0.3">
      <c r="A25" s="11" t="s">
        <v>139</v>
      </c>
      <c r="B25" s="12" t="s">
        <v>44</v>
      </c>
      <c r="C25" s="12" t="s">
        <v>140</v>
      </c>
      <c r="D25" s="13" t="s">
        <v>141</v>
      </c>
      <c r="E25" s="14" t="s">
        <v>142</v>
      </c>
      <c r="F25" s="15">
        <v>2025</v>
      </c>
      <c r="G25" s="11" t="s">
        <v>52</v>
      </c>
      <c r="H25" s="11" t="s">
        <v>15</v>
      </c>
      <c r="I25" s="11" t="s">
        <v>53</v>
      </c>
      <c r="J25" s="11" t="s">
        <v>52</v>
      </c>
      <c r="K25" s="24"/>
    </row>
    <row r="26" spans="1:11" s="10" customFormat="1" ht="24.75" customHeight="1" x14ac:dyDescent="0.3">
      <c r="A26" s="11" t="s">
        <v>143</v>
      </c>
      <c r="B26" s="12" t="s">
        <v>23</v>
      </c>
      <c r="C26" s="12" t="s">
        <v>144</v>
      </c>
      <c r="D26" s="13" t="s">
        <v>145</v>
      </c>
      <c r="E26" s="14" t="s">
        <v>146</v>
      </c>
      <c r="F26" s="15">
        <v>2023</v>
      </c>
      <c r="G26" s="11" t="s">
        <v>15</v>
      </c>
      <c r="H26" s="11" t="s">
        <v>15</v>
      </c>
      <c r="I26" s="11" t="s">
        <v>16</v>
      </c>
      <c r="J26" s="11" t="s">
        <v>15</v>
      </c>
      <c r="K26" s="24"/>
    </row>
    <row r="27" spans="1:11" s="10" customFormat="1" ht="24.75" customHeight="1" x14ac:dyDescent="0.3">
      <c r="A27" s="11" t="s">
        <v>147</v>
      </c>
      <c r="B27" s="12" t="s">
        <v>23</v>
      </c>
      <c r="C27" s="12" t="s">
        <v>148</v>
      </c>
      <c r="D27" s="13" t="s">
        <v>149</v>
      </c>
      <c r="E27" s="14" t="s">
        <v>150</v>
      </c>
      <c r="F27" s="15">
        <v>2022</v>
      </c>
      <c r="G27" s="11" t="s">
        <v>15</v>
      </c>
      <c r="H27" s="11" t="s">
        <v>15</v>
      </c>
      <c r="I27" s="11" t="s">
        <v>16</v>
      </c>
      <c r="J27" s="11" t="s">
        <v>15</v>
      </c>
      <c r="K27" s="24"/>
    </row>
    <row r="28" spans="1:11" s="10" customFormat="1" ht="24.75" customHeight="1" x14ac:dyDescent="0.3">
      <c r="A28" s="11" t="s">
        <v>151</v>
      </c>
      <c r="B28" s="12" t="s">
        <v>23</v>
      </c>
      <c r="C28" s="12" t="s">
        <v>152</v>
      </c>
      <c r="D28" s="13" t="s">
        <v>153</v>
      </c>
      <c r="E28" s="14" t="s">
        <v>154</v>
      </c>
      <c r="F28" s="15">
        <v>2021</v>
      </c>
      <c r="G28" s="11" t="s">
        <v>15</v>
      </c>
      <c r="H28" s="11" t="s">
        <v>15</v>
      </c>
      <c r="I28" s="11" t="s">
        <v>16</v>
      </c>
      <c r="J28" s="11" t="s">
        <v>15</v>
      </c>
      <c r="K28" s="24"/>
    </row>
    <row r="29" spans="1:11" s="10" customFormat="1" ht="24.75" customHeight="1" x14ac:dyDescent="0.3">
      <c r="A29" s="11" t="s">
        <v>158</v>
      </c>
      <c r="B29" s="12" t="s">
        <v>67</v>
      </c>
      <c r="C29" s="12" t="s">
        <v>159</v>
      </c>
      <c r="D29" s="13" t="s">
        <v>160</v>
      </c>
      <c r="E29" s="14" t="s">
        <v>161</v>
      </c>
      <c r="F29" s="15">
        <v>2007</v>
      </c>
      <c r="G29" s="11" t="s">
        <v>15</v>
      </c>
      <c r="H29" s="11" t="s">
        <v>15</v>
      </c>
      <c r="I29" s="11" t="s">
        <v>16</v>
      </c>
      <c r="J29" s="11" t="s">
        <v>15</v>
      </c>
      <c r="K29" s="24"/>
    </row>
    <row r="30" spans="1:11" s="10" customFormat="1" ht="24.75" customHeight="1" x14ac:dyDescent="0.3">
      <c r="A30" s="11" t="s">
        <v>165</v>
      </c>
      <c r="B30" s="12" t="s">
        <v>23</v>
      </c>
      <c r="C30" s="12" t="s">
        <v>159</v>
      </c>
      <c r="D30" s="13" t="s">
        <v>166</v>
      </c>
      <c r="E30" s="14" t="s">
        <v>167</v>
      </c>
      <c r="F30" s="15">
        <v>2012</v>
      </c>
      <c r="G30" s="11" t="s">
        <v>15</v>
      </c>
      <c r="H30" s="11" t="s">
        <v>15</v>
      </c>
      <c r="I30" s="11" t="s">
        <v>16</v>
      </c>
      <c r="J30" s="11" t="s">
        <v>15</v>
      </c>
      <c r="K30" s="24"/>
    </row>
    <row r="31" spans="1:11" s="10" customFormat="1" ht="24.75" customHeight="1" x14ac:dyDescent="0.3">
      <c r="A31" s="11" t="s">
        <v>168</v>
      </c>
      <c r="B31" s="12" t="s">
        <v>23</v>
      </c>
      <c r="C31" s="12" t="s">
        <v>169</v>
      </c>
      <c r="D31" s="13" t="s">
        <v>170</v>
      </c>
      <c r="E31" s="14" t="s">
        <v>171</v>
      </c>
      <c r="F31" s="15">
        <v>2020</v>
      </c>
      <c r="G31" s="11" t="s">
        <v>15</v>
      </c>
      <c r="H31" s="11" t="s">
        <v>15</v>
      </c>
      <c r="I31" s="11" t="s">
        <v>16</v>
      </c>
      <c r="J31" s="11" t="s">
        <v>15</v>
      </c>
      <c r="K31" s="24"/>
    </row>
    <row r="32" spans="1:11" s="10" customFormat="1" ht="24.75" customHeight="1" x14ac:dyDescent="0.3">
      <c r="A32" s="11" t="s">
        <v>175</v>
      </c>
      <c r="B32" s="12" t="s">
        <v>23</v>
      </c>
      <c r="C32" s="12" t="s">
        <v>176</v>
      </c>
      <c r="D32" s="13" t="s">
        <v>177</v>
      </c>
      <c r="E32" s="14" t="s">
        <v>178</v>
      </c>
      <c r="F32" s="15">
        <v>2022</v>
      </c>
      <c r="G32" s="11" t="s">
        <v>15</v>
      </c>
      <c r="H32" s="11" t="s">
        <v>15</v>
      </c>
      <c r="I32" s="11" t="s">
        <v>16</v>
      </c>
      <c r="J32" s="11" t="s">
        <v>15</v>
      </c>
      <c r="K32" s="24"/>
    </row>
    <row r="33" spans="1:11" s="10" customFormat="1" ht="24.75" customHeight="1" x14ac:dyDescent="0.3">
      <c r="A33" s="11" t="s">
        <v>179</v>
      </c>
      <c r="B33" s="12" t="s">
        <v>23</v>
      </c>
      <c r="C33" s="12" t="s">
        <v>180</v>
      </c>
      <c r="D33" s="13" t="s">
        <v>181</v>
      </c>
      <c r="E33" s="14" t="s">
        <v>182</v>
      </c>
      <c r="F33" s="15">
        <v>2015</v>
      </c>
      <c r="G33" s="11" t="s">
        <v>15</v>
      </c>
      <c r="H33" s="11" t="s">
        <v>15</v>
      </c>
      <c r="I33" s="11" t="s">
        <v>16</v>
      </c>
      <c r="J33" s="11" t="s">
        <v>15</v>
      </c>
      <c r="K33" s="24"/>
    </row>
    <row r="34" spans="1:11" s="10" customFormat="1" ht="24.75" customHeight="1" x14ac:dyDescent="0.3">
      <c r="A34" s="11" t="s">
        <v>183</v>
      </c>
      <c r="B34" s="12" t="s">
        <v>23</v>
      </c>
      <c r="C34" s="12" t="s">
        <v>184</v>
      </c>
      <c r="D34" s="13" t="s">
        <v>185</v>
      </c>
      <c r="E34" s="14" t="s">
        <v>186</v>
      </c>
      <c r="F34" s="15">
        <v>2024</v>
      </c>
      <c r="G34" s="11" t="s">
        <v>15</v>
      </c>
      <c r="H34" s="11" t="s">
        <v>15</v>
      </c>
      <c r="I34" s="11" t="s">
        <v>16</v>
      </c>
      <c r="J34" s="11" t="s">
        <v>15</v>
      </c>
      <c r="K34" s="24"/>
    </row>
    <row r="35" spans="1:11" s="10" customFormat="1" ht="24.75" customHeight="1" x14ac:dyDescent="0.3">
      <c r="A35" s="11" t="s">
        <v>191</v>
      </c>
      <c r="B35" s="12" t="s">
        <v>23</v>
      </c>
      <c r="C35" s="12" t="s">
        <v>192</v>
      </c>
      <c r="D35" s="13" t="s">
        <v>193</v>
      </c>
      <c r="E35" s="14" t="s">
        <v>194</v>
      </c>
      <c r="F35" s="15">
        <v>2017</v>
      </c>
      <c r="G35" s="11" t="s">
        <v>52</v>
      </c>
      <c r="H35" s="11" t="s">
        <v>15</v>
      </c>
      <c r="I35" s="11" t="s">
        <v>53</v>
      </c>
      <c r="J35" s="11" t="s">
        <v>15</v>
      </c>
      <c r="K35" s="24"/>
    </row>
    <row r="36" spans="1:11" s="10" customFormat="1" ht="24.75" customHeight="1" x14ac:dyDescent="0.3">
      <c r="A36" s="11" t="s">
        <v>195</v>
      </c>
      <c r="B36" s="12" t="s">
        <v>67</v>
      </c>
      <c r="C36" s="12" t="s">
        <v>196</v>
      </c>
      <c r="D36" s="13" t="s">
        <v>197</v>
      </c>
      <c r="E36" s="14" t="s">
        <v>198</v>
      </c>
      <c r="F36" s="15">
        <v>2021</v>
      </c>
      <c r="G36" s="11" t="s">
        <v>15</v>
      </c>
      <c r="H36" s="11" t="s">
        <v>15</v>
      </c>
      <c r="I36" s="11" t="s">
        <v>16</v>
      </c>
      <c r="J36" s="11" t="s">
        <v>15</v>
      </c>
      <c r="K36" s="24"/>
    </row>
    <row r="37" spans="1:11" s="10" customFormat="1" ht="24.75" customHeight="1" x14ac:dyDescent="0.3">
      <c r="A37" s="11" t="s">
        <v>199</v>
      </c>
      <c r="B37" s="12" t="s">
        <v>67</v>
      </c>
      <c r="C37" s="12" t="s">
        <v>200</v>
      </c>
      <c r="D37" s="13" t="s">
        <v>201</v>
      </c>
      <c r="E37" s="14" t="s">
        <v>202</v>
      </c>
      <c r="F37" s="15">
        <v>2025</v>
      </c>
      <c r="G37" s="11" t="s">
        <v>15</v>
      </c>
      <c r="H37" s="11" t="s">
        <v>15</v>
      </c>
      <c r="I37" s="11" t="s">
        <v>16</v>
      </c>
      <c r="J37" s="11" t="s">
        <v>15</v>
      </c>
      <c r="K37" s="24"/>
    </row>
    <row r="38" spans="1:11" s="10" customFormat="1" ht="24.75" customHeight="1" x14ac:dyDescent="0.3">
      <c r="A38" s="11" t="s">
        <v>203</v>
      </c>
      <c r="B38" s="12" t="s">
        <v>67</v>
      </c>
      <c r="C38" s="12" t="s">
        <v>101</v>
      </c>
      <c r="D38" s="13" t="s">
        <v>204</v>
      </c>
      <c r="E38" s="14" t="s">
        <v>205</v>
      </c>
      <c r="F38" s="15">
        <v>2024</v>
      </c>
      <c r="G38" s="11" t="s">
        <v>15</v>
      </c>
      <c r="H38" s="11" t="s">
        <v>15</v>
      </c>
      <c r="I38" s="11" t="s">
        <v>16</v>
      </c>
      <c r="J38" s="11" t="s">
        <v>15</v>
      </c>
      <c r="K38" s="24"/>
    </row>
    <row r="39" spans="1:11" s="10" customFormat="1" ht="24.75" customHeight="1" x14ac:dyDescent="0.3">
      <c r="A39" s="11" t="s">
        <v>206</v>
      </c>
      <c r="B39" s="12" t="s">
        <v>23</v>
      </c>
      <c r="C39" s="12" t="s">
        <v>207</v>
      </c>
      <c r="D39" s="13" t="s">
        <v>208</v>
      </c>
      <c r="E39" s="14" t="s">
        <v>209</v>
      </c>
      <c r="F39" s="15">
        <v>2021</v>
      </c>
      <c r="G39" s="11" t="s">
        <v>15</v>
      </c>
      <c r="H39" s="11" t="s">
        <v>15</v>
      </c>
      <c r="I39" s="11" t="s">
        <v>16</v>
      </c>
      <c r="J39" s="11" t="s">
        <v>15</v>
      </c>
      <c r="K39" s="24"/>
    </row>
    <row r="40" spans="1:11" s="10" customFormat="1" ht="24.75" customHeight="1" x14ac:dyDescent="0.3">
      <c r="A40" s="11" t="s">
        <v>226</v>
      </c>
      <c r="B40" s="12" t="s">
        <v>23</v>
      </c>
      <c r="C40" s="12" t="s">
        <v>227</v>
      </c>
      <c r="D40" s="13" t="s">
        <v>228</v>
      </c>
      <c r="E40" s="14" t="s">
        <v>229</v>
      </c>
      <c r="F40" s="15">
        <v>2021</v>
      </c>
      <c r="G40" s="11" t="s">
        <v>15</v>
      </c>
      <c r="H40" s="11" t="s">
        <v>15</v>
      </c>
      <c r="I40" s="11" t="s">
        <v>16</v>
      </c>
      <c r="J40" s="11" t="s">
        <v>15</v>
      </c>
      <c r="K40" s="24"/>
    </row>
    <row r="41" spans="1:11" s="10" customFormat="1" ht="24.75" customHeight="1" x14ac:dyDescent="0.3">
      <c r="A41" s="11" t="s">
        <v>234</v>
      </c>
      <c r="B41" s="12" t="s">
        <v>23</v>
      </c>
      <c r="C41" s="12" t="s">
        <v>235</v>
      </c>
      <c r="D41" s="13" t="s">
        <v>236</v>
      </c>
      <c r="E41" s="14" t="s">
        <v>237</v>
      </c>
      <c r="F41" s="15">
        <v>2023</v>
      </c>
      <c r="G41" s="11" t="s">
        <v>15</v>
      </c>
      <c r="H41" s="11" t="s">
        <v>15</v>
      </c>
      <c r="I41" s="11" t="s">
        <v>16</v>
      </c>
      <c r="J41" s="11" t="s">
        <v>15</v>
      </c>
      <c r="K41" s="24"/>
    </row>
    <row r="42" spans="1:11" s="10" customFormat="1" ht="24.75" customHeight="1" x14ac:dyDescent="0.3">
      <c r="A42" s="11" t="s">
        <v>242</v>
      </c>
      <c r="B42" s="12" t="s">
        <v>23</v>
      </c>
      <c r="C42" s="12" t="s">
        <v>243</v>
      </c>
      <c r="D42" s="13" t="s">
        <v>244</v>
      </c>
      <c r="E42" s="14" t="s">
        <v>245</v>
      </c>
      <c r="F42" s="15">
        <v>2020</v>
      </c>
      <c r="G42" s="11" t="s">
        <v>15</v>
      </c>
      <c r="H42" s="11" t="s">
        <v>15</v>
      </c>
      <c r="I42" s="11" t="s">
        <v>16</v>
      </c>
      <c r="J42" s="11" t="s">
        <v>15</v>
      </c>
      <c r="K42" s="24"/>
    </row>
    <row r="43" spans="1:11" s="10" customFormat="1" ht="24.75" customHeight="1" x14ac:dyDescent="0.3">
      <c r="A43" s="11" t="s">
        <v>246</v>
      </c>
      <c r="B43" s="12" t="s">
        <v>23</v>
      </c>
      <c r="C43" s="12" t="s">
        <v>692</v>
      </c>
      <c r="D43" s="13" t="s">
        <v>248</v>
      </c>
      <c r="E43" s="14" t="s">
        <v>249</v>
      </c>
      <c r="F43" s="15">
        <v>2023</v>
      </c>
      <c r="G43" s="11" t="s">
        <v>15</v>
      </c>
      <c r="H43" s="11" t="s">
        <v>15</v>
      </c>
      <c r="I43" s="11" t="s">
        <v>16</v>
      </c>
      <c r="J43" s="11" t="s">
        <v>15</v>
      </c>
      <c r="K43" s="24"/>
    </row>
    <row r="44" spans="1:11" s="10" customFormat="1" ht="24.75" customHeight="1" x14ac:dyDescent="0.3">
      <c r="A44" s="11" t="s">
        <v>250</v>
      </c>
      <c r="B44" s="12" t="s">
        <v>23</v>
      </c>
      <c r="C44" s="12" t="s">
        <v>101</v>
      </c>
      <c r="D44" s="13" t="s">
        <v>251</v>
      </c>
      <c r="E44" s="14" t="s">
        <v>252</v>
      </c>
      <c r="F44" s="15">
        <v>2010</v>
      </c>
      <c r="G44" s="11" t="s">
        <v>15</v>
      </c>
      <c r="H44" s="11" t="s">
        <v>15</v>
      </c>
      <c r="I44" s="11" t="s">
        <v>16</v>
      </c>
      <c r="J44" s="11" t="s">
        <v>15</v>
      </c>
      <c r="K44" s="24"/>
    </row>
    <row r="45" spans="1:11" s="10" customFormat="1" ht="24.75" customHeight="1" x14ac:dyDescent="0.3">
      <c r="A45" s="11" t="s">
        <v>253</v>
      </c>
      <c r="B45" s="12" t="s">
        <v>23</v>
      </c>
      <c r="C45" s="12" t="s">
        <v>254</v>
      </c>
      <c r="D45" s="13" t="s">
        <v>255</v>
      </c>
      <c r="E45" s="14" t="s">
        <v>256</v>
      </c>
      <c r="F45" s="15">
        <v>2023</v>
      </c>
      <c r="G45" s="11" t="s">
        <v>15</v>
      </c>
      <c r="H45" s="11" t="s">
        <v>15</v>
      </c>
      <c r="I45" s="11" t="s">
        <v>16</v>
      </c>
      <c r="J45" s="11" t="s">
        <v>15</v>
      </c>
      <c r="K45" s="24"/>
    </row>
    <row r="46" spans="1:11" s="10" customFormat="1" ht="24.75" customHeight="1" x14ac:dyDescent="0.3">
      <c r="A46" s="11" t="s">
        <v>257</v>
      </c>
      <c r="B46" s="12" t="s">
        <v>23</v>
      </c>
      <c r="C46" s="12" t="s">
        <v>101</v>
      </c>
      <c r="D46" s="13" t="s">
        <v>258</v>
      </c>
      <c r="E46" s="14" t="s">
        <v>259</v>
      </c>
      <c r="F46" s="15">
        <v>2006</v>
      </c>
      <c r="G46" s="11" t="s">
        <v>15</v>
      </c>
      <c r="H46" s="11" t="s">
        <v>15</v>
      </c>
      <c r="I46" s="11" t="s">
        <v>16</v>
      </c>
      <c r="J46" s="11" t="s">
        <v>15</v>
      </c>
      <c r="K46" s="24"/>
    </row>
    <row r="47" spans="1:11" s="10" customFormat="1" ht="24.75" customHeight="1" x14ac:dyDescent="0.3">
      <c r="A47" s="11" t="s">
        <v>260</v>
      </c>
      <c r="B47" s="12" t="s">
        <v>23</v>
      </c>
      <c r="C47" s="12" t="s">
        <v>261</v>
      </c>
      <c r="D47" s="13" t="s">
        <v>262</v>
      </c>
      <c r="E47" s="14" t="s">
        <v>263</v>
      </c>
      <c r="F47" s="15">
        <v>2004</v>
      </c>
      <c r="G47" s="11" t="s">
        <v>15</v>
      </c>
      <c r="H47" s="11" t="s">
        <v>15</v>
      </c>
      <c r="I47" s="11" t="s">
        <v>16</v>
      </c>
      <c r="J47" s="11" t="s">
        <v>15</v>
      </c>
      <c r="K47" s="24"/>
    </row>
    <row r="48" spans="1:11" s="10" customFormat="1" ht="24.75" customHeight="1" x14ac:dyDescent="0.3">
      <c r="A48" s="11" t="s">
        <v>268</v>
      </c>
      <c r="B48" s="12" t="s">
        <v>23</v>
      </c>
      <c r="C48" s="12" t="s">
        <v>269</v>
      </c>
      <c r="D48" s="13" t="s">
        <v>270</v>
      </c>
      <c r="E48" s="14" t="s">
        <v>271</v>
      </c>
      <c r="F48" s="15">
        <v>2025</v>
      </c>
      <c r="G48" s="11" t="s">
        <v>52</v>
      </c>
      <c r="H48" s="11" t="s">
        <v>15</v>
      </c>
      <c r="I48" s="11" t="s">
        <v>53</v>
      </c>
      <c r="J48" s="11" t="s">
        <v>52</v>
      </c>
      <c r="K48" s="24"/>
    </row>
    <row r="49" spans="1:11" s="10" customFormat="1" ht="24.75" customHeight="1" x14ac:dyDescent="0.3">
      <c r="A49" s="11" t="s">
        <v>284</v>
      </c>
      <c r="B49" s="12" t="s">
        <v>23</v>
      </c>
      <c r="C49" s="12" t="s">
        <v>101</v>
      </c>
      <c r="D49" s="13" t="s">
        <v>285</v>
      </c>
      <c r="E49" s="14" t="s">
        <v>286</v>
      </c>
      <c r="F49" s="15">
        <v>2004</v>
      </c>
      <c r="G49" s="11" t="s">
        <v>52</v>
      </c>
      <c r="H49" s="11" t="s">
        <v>52</v>
      </c>
      <c r="I49" s="11" t="s">
        <v>16</v>
      </c>
      <c r="J49" s="11" t="s">
        <v>52</v>
      </c>
      <c r="K49" s="24"/>
    </row>
    <row r="50" spans="1:11" s="10" customFormat="1" ht="24.75" customHeight="1" x14ac:dyDescent="0.3">
      <c r="A50" s="11" t="s">
        <v>287</v>
      </c>
      <c r="B50" s="12" t="s">
        <v>23</v>
      </c>
      <c r="C50" s="12" t="s">
        <v>288</v>
      </c>
      <c r="D50" s="19" t="s">
        <v>289</v>
      </c>
      <c r="E50" s="14" t="s">
        <v>290</v>
      </c>
      <c r="F50" s="15">
        <v>2022</v>
      </c>
      <c r="G50" s="11" t="s">
        <v>15</v>
      </c>
      <c r="H50" s="11" t="s">
        <v>15</v>
      </c>
      <c r="I50" s="11" t="s">
        <v>16</v>
      </c>
      <c r="J50" s="11" t="s">
        <v>15</v>
      </c>
      <c r="K50" s="24"/>
    </row>
    <row r="51" spans="1:11" s="10" customFormat="1" ht="24.75" customHeight="1" x14ac:dyDescent="0.3">
      <c r="A51" s="11" t="s">
        <v>295</v>
      </c>
      <c r="B51" s="12" t="s">
        <v>23</v>
      </c>
      <c r="C51" s="12" t="s">
        <v>296</v>
      </c>
      <c r="D51" s="13" t="s">
        <v>297</v>
      </c>
      <c r="E51" s="14" t="s">
        <v>298</v>
      </c>
      <c r="F51" s="15">
        <v>2025</v>
      </c>
      <c r="G51" s="11" t="s">
        <v>15</v>
      </c>
      <c r="H51" s="11" t="s">
        <v>15</v>
      </c>
      <c r="I51" s="11" t="s">
        <v>16</v>
      </c>
      <c r="J51" s="11" t="s">
        <v>15</v>
      </c>
      <c r="K51" s="24"/>
    </row>
    <row r="52" spans="1:11" s="10" customFormat="1" ht="24.75" customHeight="1" x14ac:dyDescent="0.3">
      <c r="A52" s="11" t="s">
        <v>365</v>
      </c>
      <c r="B52" s="12" t="s">
        <v>23</v>
      </c>
      <c r="C52" s="12" t="s">
        <v>101</v>
      </c>
      <c r="D52" s="13" t="s">
        <v>366</v>
      </c>
      <c r="E52" s="14" t="s">
        <v>367</v>
      </c>
      <c r="F52" s="15">
        <v>2021</v>
      </c>
      <c r="G52" s="11" t="s">
        <v>15</v>
      </c>
      <c r="H52" s="11" t="s">
        <v>15</v>
      </c>
      <c r="I52" s="11" t="s">
        <v>16</v>
      </c>
      <c r="J52" s="11" t="s">
        <v>15</v>
      </c>
      <c r="K52" s="24"/>
    </row>
    <row r="53" spans="1:11" s="10" customFormat="1" ht="24.75" customHeight="1" x14ac:dyDescent="0.3">
      <c r="A53" s="11" t="s">
        <v>315</v>
      </c>
      <c r="B53" s="12" t="s">
        <v>23</v>
      </c>
      <c r="C53" s="12" t="s">
        <v>316</v>
      </c>
      <c r="D53" s="13" t="s">
        <v>317</v>
      </c>
      <c r="E53" s="14" t="s">
        <v>318</v>
      </c>
      <c r="F53" s="15">
        <v>2007</v>
      </c>
      <c r="G53" s="11" t="s">
        <v>15</v>
      </c>
      <c r="H53" s="11" t="s">
        <v>52</v>
      </c>
      <c r="I53" s="11" t="s">
        <v>53</v>
      </c>
      <c r="J53" s="11" t="s">
        <v>15</v>
      </c>
      <c r="K53" s="24"/>
    </row>
    <row r="54" spans="1:11" s="10" customFormat="1" ht="24.75" customHeight="1" x14ac:dyDescent="0.3">
      <c r="A54" s="11" t="s">
        <v>319</v>
      </c>
      <c r="B54" s="12" t="s">
        <v>23</v>
      </c>
      <c r="C54" s="12" t="s">
        <v>320</v>
      </c>
      <c r="D54" s="16" t="s">
        <v>321</v>
      </c>
      <c r="E54" s="17" t="s">
        <v>322</v>
      </c>
      <c r="F54" s="15">
        <v>2020</v>
      </c>
      <c r="G54" s="13" t="s">
        <v>15</v>
      </c>
      <c r="H54" s="13" t="s">
        <v>15</v>
      </c>
      <c r="I54" s="11" t="s">
        <v>16</v>
      </c>
      <c r="J54" s="11" t="s">
        <v>15</v>
      </c>
      <c r="K54" s="24"/>
    </row>
    <row r="55" spans="1:11" s="10" customFormat="1" ht="24.75" customHeight="1" x14ac:dyDescent="0.3">
      <c r="A55" s="11" t="s">
        <v>327</v>
      </c>
      <c r="B55" s="12" t="s">
        <v>328</v>
      </c>
      <c r="C55" s="12" t="s">
        <v>329</v>
      </c>
      <c r="D55" s="13" t="s">
        <v>330</v>
      </c>
      <c r="E55" s="14" t="s">
        <v>331</v>
      </c>
      <c r="F55" s="15">
        <v>2026</v>
      </c>
      <c r="G55" s="11" t="s">
        <v>15</v>
      </c>
      <c r="H55" s="11" t="s">
        <v>15</v>
      </c>
      <c r="I55" s="11" t="s">
        <v>16</v>
      </c>
      <c r="J55" s="11" t="s">
        <v>15</v>
      </c>
      <c r="K55" s="24"/>
    </row>
    <row r="56" spans="1:11" s="10" customFormat="1" ht="24.75" customHeight="1" x14ac:dyDescent="0.3">
      <c r="A56" s="11" t="s">
        <v>336</v>
      </c>
      <c r="B56" s="12" t="s">
        <v>23</v>
      </c>
      <c r="C56" s="12" t="s">
        <v>337</v>
      </c>
      <c r="D56" s="13" t="s">
        <v>338</v>
      </c>
      <c r="E56" s="14" t="s">
        <v>339</v>
      </c>
      <c r="F56" s="15">
        <v>2020</v>
      </c>
      <c r="G56" s="11" t="s">
        <v>15</v>
      </c>
      <c r="H56" s="11" t="s">
        <v>15</v>
      </c>
      <c r="I56" s="11" t="s">
        <v>16</v>
      </c>
      <c r="J56" s="11" t="s">
        <v>15</v>
      </c>
      <c r="K56" s="24"/>
    </row>
    <row r="57" spans="1:11" s="10" customFormat="1" ht="24.75" customHeight="1" x14ac:dyDescent="0.3">
      <c r="A57" s="11" t="s">
        <v>340</v>
      </c>
      <c r="B57" s="12" t="s">
        <v>341</v>
      </c>
      <c r="C57" s="12" t="s">
        <v>342</v>
      </c>
      <c r="D57" s="13" t="s">
        <v>343</v>
      </c>
      <c r="E57" s="14" t="s">
        <v>344</v>
      </c>
      <c r="F57" s="15">
        <v>2024</v>
      </c>
      <c r="G57" s="11" t="s">
        <v>15</v>
      </c>
      <c r="H57" s="11" t="s">
        <v>15</v>
      </c>
      <c r="I57" s="11" t="s">
        <v>16</v>
      </c>
      <c r="J57" s="11" t="s">
        <v>15</v>
      </c>
      <c r="K57" s="24"/>
    </row>
    <row r="58" spans="1:11" s="10" customFormat="1" ht="24.75" customHeight="1" x14ac:dyDescent="0.3">
      <c r="A58" s="11" t="s">
        <v>345</v>
      </c>
      <c r="B58" s="12" t="s">
        <v>18</v>
      </c>
      <c r="C58" s="12" t="s">
        <v>346</v>
      </c>
      <c r="D58" s="13" t="s">
        <v>347</v>
      </c>
      <c r="E58" s="14" t="s">
        <v>348</v>
      </c>
      <c r="F58" s="15">
        <v>2024</v>
      </c>
      <c r="G58" s="11" t="s">
        <v>15</v>
      </c>
      <c r="H58" s="11" t="s">
        <v>15</v>
      </c>
      <c r="I58" s="11" t="s">
        <v>16</v>
      </c>
      <c r="J58" s="11" t="s">
        <v>15</v>
      </c>
      <c r="K58" s="24"/>
    </row>
    <row r="59" spans="1:11" s="10" customFormat="1" ht="24.75" customHeight="1" x14ac:dyDescent="0.3">
      <c r="A59" s="11" t="s">
        <v>349</v>
      </c>
      <c r="B59" s="12" t="s">
        <v>67</v>
      </c>
      <c r="C59" s="12" t="s">
        <v>350</v>
      </c>
      <c r="D59" s="13" t="s">
        <v>351</v>
      </c>
      <c r="E59" s="14" t="s">
        <v>352</v>
      </c>
      <c r="F59" s="15">
        <v>2024</v>
      </c>
      <c r="G59" s="11" t="s">
        <v>15</v>
      </c>
      <c r="H59" s="11" t="s">
        <v>15</v>
      </c>
      <c r="I59" s="11" t="s">
        <v>16</v>
      </c>
      <c r="J59" s="11" t="s">
        <v>15</v>
      </c>
      <c r="K59" s="24"/>
    </row>
    <row r="60" spans="1:11" s="10" customFormat="1" ht="24.75" customHeight="1" x14ac:dyDescent="0.3">
      <c r="A60" s="11" t="s">
        <v>353</v>
      </c>
      <c r="B60" s="12" t="s">
        <v>18</v>
      </c>
      <c r="C60" s="12" t="s">
        <v>354</v>
      </c>
      <c r="D60" s="13" t="s">
        <v>355</v>
      </c>
      <c r="E60" s="14" t="s">
        <v>356</v>
      </c>
      <c r="F60" s="15">
        <v>2020</v>
      </c>
      <c r="G60" s="11" t="s">
        <v>52</v>
      </c>
      <c r="H60" s="11" t="s">
        <v>52</v>
      </c>
      <c r="I60" s="11" t="s">
        <v>16</v>
      </c>
      <c r="J60" s="11" t="s">
        <v>52</v>
      </c>
      <c r="K60" s="24"/>
    </row>
    <row r="61" spans="1:11" s="10" customFormat="1" ht="24.75" customHeight="1" x14ac:dyDescent="0.3">
      <c r="A61" s="11" t="s">
        <v>357</v>
      </c>
      <c r="B61" s="12" t="s">
        <v>18</v>
      </c>
      <c r="C61" s="12" t="s">
        <v>358</v>
      </c>
      <c r="D61" s="13" t="s">
        <v>359</v>
      </c>
      <c r="E61" s="14" t="s">
        <v>360</v>
      </c>
      <c r="F61" s="15">
        <v>2014</v>
      </c>
      <c r="G61" s="11" t="s">
        <v>15</v>
      </c>
      <c r="H61" s="11" t="s">
        <v>15</v>
      </c>
      <c r="I61" s="11" t="s">
        <v>16</v>
      </c>
      <c r="J61" s="11" t="s">
        <v>15</v>
      </c>
      <c r="K61" s="24"/>
    </row>
    <row r="62" spans="1:11" s="10" customFormat="1" ht="24.75" customHeight="1" x14ac:dyDescent="0.3">
      <c r="A62" s="11" t="s">
        <v>361</v>
      </c>
      <c r="B62" s="12" t="s">
        <v>23</v>
      </c>
      <c r="C62" s="12" t="s">
        <v>362</v>
      </c>
      <c r="D62" s="13" t="s">
        <v>363</v>
      </c>
      <c r="E62" s="14" t="s">
        <v>364</v>
      </c>
      <c r="F62" s="15">
        <v>2022</v>
      </c>
      <c r="G62" s="11" t="s">
        <v>15</v>
      </c>
      <c r="H62" s="11" t="s">
        <v>15</v>
      </c>
      <c r="I62" s="11" t="s">
        <v>16</v>
      </c>
      <c r="J62" s="11" t="s">
        <v>15</v>
      </c>
      <c r="K62" s="24"/>
    </row>
    <row r="63" spans="1:11" s="10" customFormat="1" ht="24.75" customHeight="1" x14ac:dyDescent="0.3">
      <c r="A63" s="11" t="s">
        <v>368</v>
      </c>
      <c r="B63" s="12" t="s">
        <v>67</v>
      </c>
      <c r="C63" s="12" t="s">
        <v>369</v>
      </c>
      <c r="D63" s="13" t="s">
        <v>370</v>
      </c>
      <c r="E63" s="14" t="s">
        <v>371</v>
      </c>
      <c r="F63" s="15">
        <v>2024</v>
      </c>
      <c r="G63" s="11" t="s">
        <v>52</v>
      </c>
      <c r="H63" s="11" t="s">
        <v>52</v>
      </c>
      <c r="I63" s="11" t="s">
        <v>16</v>
      </c>
      <c r="J63" s="11" t="s">
        <v>52</v>
      </c>
      <c r="K63" s="24"/>
    </row>
    <row r="64" spans="1:11" s="10" customFormat="1" ht="24.75" customHeight="1" x14ac:dyDescent="0.3">
      <c r="A64" s="11" t="s">
        <v>372</v>
      </c>
      <c r="B64" s="12" t="s">
        <v>67</v>
      </c>
      <c r="C64" s="12" t="s">
        <v>373</v>
      </c>
      <c r="D64" s="13" t="s">
        <v>374</v>
      </c>
      <c r="E64" s="14" t="s">
        <v>375</v>
      </c>
      <c r="F64" s="15">
        <v>2026</v>
      </c>
      <c r="G64" s="11" t="s">
        <v>52</v>
      </c>
      <c r="H64" s="11" t="s">
        <v>52</v>
      </c>
      <c r="I64" s="11" t="s">
        <v>16</v>
      </c>
      <c r="J64" s="11" t="s">
        <v>52</v>
      </c>
      <c r="K64" s="24"/>
    </row>
    <row r="65" spans="1:11" s="10" customFormat="1" ht="24.75" customHeight="1" x14ac:dyDescent="0.3">
      <c r="A65" s="11" t="s">
        <v>376</v>
      </c>
      <c r="B65" s="12" t="s">
        <v>18</v>
      </c>
      <c r="C65" s="12" t="s">
        <v>377</v>
      </c>
      <c r="D65" s="13" t="s">
        <v>378</v>
      </c>
      <c r="E65" s="14" t="s">
        <v>379</v>
      </c>
      <c r="F65" s="15">
        <v>2022</v>
      </c>
      <c r="G65" s="11" t="s">
        <v>15</v>
      </c>
      <c r="H65" s="11" t="s">
        <v>15</v>
      </c>
      <c r="I65" s="11" t="s">
        <v>16</v>
      </c>
      <c r="J65" s="11" t="s">
        <v>15</v>
      </c>
      <c r="K65" s="24"/>
    </row>
    <row r="66" spans="1:11" s="10" customFormat="1" ht="24.75" customHeight="1" x14ac:dyDescent="0.3">
      <c r="A66" s="11" t="s">
        <v>380</v>
      </c>
      <c r="B66" s="12" t="s">
        <v>18</v>
      </c>
      <c r="C66" s="12" t="s">
        <v>693</v>
      </c>
      <c r="D66" s="13" t="s">
        <v>382</v>
      </c>
      <c r="E66" s="14" t="s">
        <v>383</v>
      </c>
      <c r="F66" s="15">
        <v>2024</v>
      </c>
      <c r="G66" s="11" t="s">
        <v>52</v>
      </c>
      <c r="H66" s="11" t="s">
        <v>52</v>
      </c>
      <c r="I66" s="11" t="s">
        <v>16</v>
      </c>
      <c r="J66" s="11" t="s">
        <v>52</v>
      </c>
      <c r="K66" s="24"/>
    </row>
    <row r="67" spans="1:11" s="10" customFormat="1" ht="24.75" customHeight="1" x14ac:dyDescent="0.3">
      <c r="A67" s="11" t="s">
        <v>384</v>
      </c>
      <c r="B67" s="12" t="s">
        <v>44</v>
      </c>
      <c r="C67" s="12" t="s">
        <v>385</v>
      </c>
      <c r="D67" s="13" t="s">
        <v>386</v>
      </c>
      <c r="E67" s="14" t="s">
        <v>387</v>
      </c>
      <c r="F67" s="15">
        <v>2019</v>
      </c>
      <c r="G67" s="11" t="s">
        <v>52</v>
      </c>
      <c r="H67" s="11" t="s">
        <v>52</v>
      </c>
      <c r="I67" s="11" t="s">
        <v>16</v>
      </c>
      <c r="J67" s="11" t="s">
        <v>52</v>
      </c>
      <c r="K67" s="24"/>
    </row>
    <row r="68" spans="1:11" s="10" customFormat="1" ht="24.75" customHeight="1" x14ac:dyDescent="0.3">
      <c r="A68" s="11" t="s">
        <v>388</v>
      </c>
      <c r="B68" s="12" t="s">
        <v>23</v>
      </c>
      <c r="C68" s="12" t="s">
        <v>389</v>
      </c>
      <c r="D68" s="13" t="s">
        <v>390</v>
      </c>
      <c r="E68" s="14" t="s">
        <v>391</v>
      </c>
      <c r="F68" s="15">
        <v>2023</v>
      </c>
      <c r="G68" s="11" t="s">
        <v>52</v>
      </c>
      <c r="H68" s="11" t="s">
        <v>52</v>
      </c>
      <c r="I68" s="11" t="s">
        <v>16</v>
      </c>
      <c r="J68" s="11" t="s">
        <v>52</v>
      </c>
      <c r="K68" s="24"/>
    </row>
    <row r="69" spans="1:11" s="10" customFormat="1" ht="24.75" customHeight="1" x14ac:dyDescent="0.3">
      <c r="A69" s="11" t="s">
        <v>392</v>
      </c>
      <c r="B69" s="12" t="s">
        <v>88</v>
      </c>
      <c r="C69" s="12" t="s">
        <v>393</v>
      </c>
      <c r="D69" s="13" t="s">
        <v>394</v>
      </c>
      <c r="E69" s="14" t="s">
        <v>395</v>
      </c>
      <c r="F69" s="15">
        <v>2021</v>
      </c>
      <c r="G69" s="11" t="s">
        <v>15</v>
      </c>
      <c r="H69" s="11" t="s">
        <v>15</v>
      </c>
      <c r="I69" s="11" t="s">
        <v>16</v>
      </c>
      <c r="J69" s="11" t="s">
        <v>15</v>
      </c>
      <c r="K69" s="24"/>
    </row>
    <row r="70" spans="1:11" s="10" customFormat="1" ht="24.75" customHeight="1" x14ac:dyDescent="0.3">
      <c r="A70" s="11" t="s">
        <v>396</v>
      </c>
      <c r="B70" s="12" t="s">
        <v>23</v>
      </c>
      <c r="C70" s="12" t="s">
        <v>397</v>
      </c>
      <c r="D70" s="13" t="s">
        <v>398</v>
      </c>
      <c r="E70" s="14" t="s">
        <v>399</v>
      </c>
      <c r="F70" s="15">
        <v>2026</v>
      </c>
      <c r="G70" s="11" t="s">
        <v>15</v>
      </c>
      <c r="H70" s="11" t="s">
        <v>15</v>
      </c>
      <c r="I70" s="11" t="s">
        <v>16</v>
      </c>
      <c r="J70" s="11" t="s">
        <v>15</v>
      </c>
      <c r="K70" s="24"/>
    </row>
    <row r="71" spans="1:11" s="10" customFormat="1" ht="24.75" customHeight="1" x14ac:dyDescent="0.3">
      <c r="A71" s="11" t="s">
        <v>400</v>
      </c>
      <c r="B71" s="12" t="s">
        <v>88</v>
      </c>
      <c r="C71" s="12" t="s">
        <v>401</v>
      </c>
      <c r="D71" s="13" t="s">
        <v>402</v>
      </c>
      <c r="E71" s="14" t="s">
        <v>403</v>
      </c>
      <c r="F71" s="15">
        <v>2025</v>
      </c>
      <c r="G71" s="11" t="s">
        <v>15</v>
      </c>
      <c r="H71" s="11" t="s">
        <v>15</v>
      </c>
      <c r="I71" s="11" t="s">
        <v>16</v>
      </c>
      <c r="J71" s="11" t="s">
        <v>15</v>
      </c>
      <c r="K71" s="24"/>
    </row>
    <row r="72" spans="1:11" s="10" customFormat="1" ht="24.75" customHeight="1" x14ac:dyDescent="0.3">
      <c r="A72" s="11" t="s">
        <v>404</v>
      </c>
      <c r="B72" s="12" t="s">
        <v>23</v>
      </c>
      <c r="C72" s="12" t="s">
        <v>405</v>
      </c>
      <c r="D72" s="13" t="s">
        <v>406</v>
      </c>
      <c r="E72" s="14" t="s">
        <v>407</v>
      </c>
      <c r="F72" s="15">
        <v>2026</v>
      </c>
      <c r="G72" s="11" t="s">
        <v>15</v>
      </c>
      <c r="H72" s="11" t="s">
        <v>15</v>
      </c>
      <c r="I72" s="11" t="s">
        <v>16</v>
      </c>
      <c r="J72" s="11" t="s">
        <v>15</v>
      </c>
      <c r="K72" s="24"/>
    </row>
    <row r="73" spans="1:11" s="10" customFormat="1" ht="24.75" customHeight="1" x14ac:dyDescent="0.3">
      <c r="A73" s="11" t="s">
        <v>408</v>
      </c>
      <c r="B73" s="12" t="s">
        <v>23</v>
      </c>
      <c r="C73" s="12" t="s">
        <v>409</v>
      </c>
      <c r="D73" s="13" t="s">
        <v>410</v>
      </c>
      <c r="E73" s="14" t="s">
        <v>411</v>
      </c>
      <c r="F73" s="15">
        <v>2019</v>
      </c>
      <c r="G73" s="11" t="s">
        <v>15</v>
      </c>
      <c r="H73" s="11" t="s">
        <v>15</v>
      </c>
      <c r="I73" s="11" t="s">
        <v>16</v>
      </c>
      <c r="J73" s="11" t="s">
        <v>15</v>
      </c>
      <c r="K73" s="24"/>
    </row>
    <row r="74" spans="1:11" s="10" customFormat="1" ht="24.75" customHeight="1" x14ac:dyDescent="0.3">
      <c r="A74" s="11" t="s">
        <v>412</v>
      </c>
      <c r="B74" s="12" t="s">
        <v>23</v>
      </c>
      <c r="C74" s="12" t="s">
        <v>413</v>
      </c>
      <c r="D74" s="13" t="s">
        <v>414</v>
      </c>
      <c r="E74" s="14" t="s">
        <v>415</v>
      </c>
      <c r="F74" s="15">
        <v>2012</v>
      </c>
      <c r="G74" s="11" t="s">
        <v>15</v>
      </c>
      <c r="H74" s="11" t="s">
        <v>15</v>
      </c>
      <c r="I74" s="11" t="s">
        <v>16</v>
      </c>
      <c r="J74" s="11" t="s">
        <v>15</v>
      </c>
      <c r="K74" s="24"/>
    </row>
    <row r="75" spans="1:11" s="10" customFormat="1" ht="24.75" customHeight="1" x14ac:dyDescent="0.3">
      <c r="A75" s="11" t="s">
        <v>416</v>
      </c>
      <c r="B75" s="12" t="s">
        <v>23</v>
      </c>
      <c r="C75" s="12" t="s">
        <v>417</v>
      </c>
      <c r="D75" s="13" t="s">
        <v>418</v>
      </c>
      <c r="E75" s="14" t="s">
        <v>419</v>
      </c>
      <c r="F75" s="15">
        <v>2025</v>
      </c>
      <c r="G75" s="11" t="s">
        <v>52</v>
      </c>
      <c r="H75" s="11" t="s">
        <v>15</v>
      </c>
      <c r="I75" s="11" t="s">
        <v>53</v>
      </c>
      <c r="J75" s="11" t="s">
        <v>52</v>
      </c>
      <c r="K75" s="24"/>
    </row>
    <row r="76" spans="1:11" s="10" customFormat="1" ht="24.75" customHeight="1" x14ac:dyDescent="0.3">
      <c r="A76" s="11" t="s">
        <v>420</v>
      </c>
      <c r="B76" s="12" t="s">
        <v>18</v>
      </c>
      <c r="C76" s="12" t="s">
        <v>421</v>
      </c>
      <c r="D76" s="13" t="s">
        <v>422</v>
      </c>
      <c r="E76" s="14" t="s">
        <v>423</v>
      </c>
      <c r="F76" s="15">
        <v>2013</v>
      </c>
      <c r="G76" s="11" t="s">
        <v>15</v>
      </c>
      <c r="H76" s="11" t="s">
        <v>15</v>
      </c>
      <c r="I76" s="11" t="s">
        <v>16</v>
      </c>
      <c r="J76" s="11" t="s">
        <v>15</v>
      </c>
      <c r="K76" s="24"/>
    </row>
    <row r="77" spans="1:11" s="10" customFormat="1" ht="24.75" customHeight="1" x14ac:dyDescent="0.3">
      <c r="A77" s="11" t="s">
        <v>424</v>
      </c>
      <c r="B77" s="12" t="s">
        <v>44</v>
      </c>
      <c r="C77" s="12" t="s">
        <v>425</v>
      </c>
      <c r="D77" s="13" t="s">
        <v>426</v>
      </c>
      <c r="E77" s="14" t="s">
        <v>427</v>
      </c>
      <c r="F77" s="15">
        <v>2023</v>
      </c>
      <c r="G77" s="11" t="s">
        <v>52</v>
      </c>
      <c r="H77" s="11" t="s">
        <v>52</v>
      </c>
      <c r="I77" s="11" t="s">
        <v>16</v>
      </c>
      <c r="J77" s="11" t="s">
        <v>52</v>
      </c>
      <c r="K77" s="24"/>
    </row>
    <row r="78" spans="1:11" s="10" customFormat="1" ht="24.75" customHeight="1" x14ac:dyDescent="0.3">
      <c r="A78" s="11" t="s">
        <v>432</v>
      </c>
      <c r="B78" s="12" t="s">
        <v>23</v>
      </c>
      <c r="C78" s="12" t="s">
        <v>433</v>
      </c>
      <c r="D78" s="13" t="s">
        <v>434</v>
      </c>
      <c r="E78" s="14" t="s">
        <v>435</v>
      </c>
      <c r="F78" s="15">
        <v>2026</v>
      </c>
      <c r="G78" s="11" t="s">
        <v>15</v>
      </c>
      <c r="H78" s="11" t="s">
        <v>15</v>
      </c>
      <c r="I78" s="11" t="s">
        <v>16</v>
      </c>
      <c r="J78" s="11" t="s">
        <v>15</v>
      </c>
      <c r="K78" s="24"/>
    </row>
    <row r="79" spans="1:11" s="10" customFormat="1" ht="24.75" customHeight="1" x14ac:dyDescent="0.3">
      <c r="A79" s="11" t="s">
        <v>436</v>
      </c>
      <c r="B79" s="12" t="s">
        <v>23</v>
      </c>
      <c r="C79" s="12" t="s">
        <v>437</v>
      </c>
      <c r="D79" s="13" t="s">
        <v>438</v>
      </c>
      <c r="E79" s="14" t="s">
        <v>439</v>
      </c>
      <c r="F79" s="15">
        <v>2019</v>
      </c>
      <c r="G79" s="11" t="s">
        <v>52</v>
      </c>
      <c r="H79" s="11" t="s">
        <v>52</v>
      </c>
      <c r="I79" s="11" t="s">
        <v>16</v>
      </c>
      <c r="J79" s="11" t="s">
        <v>52</v>
      </c>
      <c r="K79" s="24"/>
    </row>
    <row r="80" spans="1:11" s="10" customFormat="1" ht="24.75" customHeight="1" x14ac:dyDescent="0.3">
      <c r="A80" s="11" t="s">
        <v>440</v>
      </c>
      <c r="B80" s="12" t="s">
        <v>67</v>
      </c>
      <c r="C80" s="12" t="s">
        <v>441</v>
      </c>
      <c r="D80" s="13" t="s">
        <v>442</v>
      </c>
      <c r="E80" s="14" t="s">
        <v>443</v>
      </c>
      <c r="F80" s="15">
        <v>2025</v>
      </c>
      <c r="G80" s="11" t="s">
        <v>52</v>
      </c>
      <c r="H80" s="11" t="s">
        <v>52</v>
      </c>
      <c r="I80" s="11" t="s">
        <v>16</v>
      </c>
      <c r="J80" s="11" t="s">
        <v>52</v>
      </c>
      <c r="K80" s="24"/>
    </row>
    <row r="81" spans="1:11" s="10" customFormat="1" ht="24.75" customHeight="1" x14ac:dyDescent="0.3">
      <c r="A81" s="11" t="s">
        <v>444</v>
      </c>
      <c r="B81" s="12" t="s">
        <v>67</v>
      </c>
      <c r="C81" s="12" t="s">
        <v>445</v>
      </c>
      <c r="D81" s="13" t="s">
        <v>446</v>
      </c>
      <c r="E81" s="14" t="s">
        <v>447</v>
      </c>
      <c r="F81" s="15">
        <v>2017</v>
      </c>
      <c r="G81" s="11" t="s">
        <v>52</v>
      </c>
      <c r="H81" s="11" t="s">
        <v>52</v>
      </c>
      <c r="I81" s="11" t="s">
        <v>16</v>
      </c>
      <c r="J81" s="11" t="s">
        <v>52</v>
      </c>
      <c r="K81" s="24"/>
    </row>
    <row r="82" spans="1:11" s="10" customFormat="1" ht="24.75" customHeight="1" x14ac:dyDescent="0.3">
      <c r="A82" s="11" t="s">
        <v>448</v>
      </c>
      <c r="B82" s="12" t="s">
        <v>23</v>
      </c>
      <c r="C82" s="12" t="s">
        <v>449</v>
      </c>
      <c r="D82" s="13" t="s">
        <v>450</v>
      </c>
      <c r="E82" s="14" t="s">
        <v>451</v>
      </c>
      <c r="F82" s="15">
        <v>2025</v>
      </c>
      <c r="G82" s="11" t="s">
        <v>15</v>
      </c>
      <c r="H82" s="11" t="s">
        <v>15</v>
      </c>
      <c r="I82" s="11" t="s">
        <v>16</v>
      </c>
      <c r="J82" s="11" t="s">
        <v>15</v>
      </c>
      <c r="K82" s="24"/>
    </row>
    <row r="83" spans="1:11" s="10" customFormat="1" ht="24.75" customHeight="1" x14ac:dyDescent="0.3">
      <c r="A83" s="11" t="s">
        <v>452</v>
      </c>
      <c r="B83" s="12" t="s">
        <v>67</v>
      </c>
      <c r="C83" s="12" t="s">
        <v>453</v>
      </c>
      <c r="D83" s="13" t="s">
        <v>454</v>
      </c>
      <c r="E83" s="14" t="s">
        <v>455</v>
      </c>
      <c r="F83" s="15">
        <v>2008</v>
      </c>
      <c r="G83" s="11" t="s">
        <v>15</v>
      </c>
      <c r="H83" s="11" t="s">
        <v>15</v>
      </c>
      <c r="I83" s="11" t="s">
        <v>16</v>
      </c>
      <c r="J83" s="11" t="s">
        <v>15</v>
      </c>
      <c r="K83" s="24"/>
    </row>
    <row r="84" spans="1:11" s="10" customFormat="1" ht="24.75" customHeight="1" x14ac:dyDescent="0.3">
      <c r="A84" s="11" t="s">
        <v>456</v>
      </c>
      <c r="B84" s="12" t="s">
        <v>67</v>
      </c>
      <c r="C84" s="12" t="s">
        <v>457</v>
      </c>
      <c r="D84" s="13" t="s">
        <v>458</v>
      </c>
      <c r="E84" s="14" t="s">
        <v>459</v>
      </c>
      <c r="F84" s="15">
        <v>2024</v>
      </c>
      <c r="G84" s="11" t="s">
        <v>15</v>
      </c>
      <c r="H84" s="11" t="s">
        <v>15</v>
      </c>
      <c r="I84" s="11" t="s">
        <v>16</v>
      </c>
      <c r="J84" s="11" t="s">
        <v>15</v>
      </c>
      <c r="K84" s="24"/>
    </row>
    <row r="85" spans="1:11" s="10" customFormat="1" ht="24.75" customHeight="1" x14ac:dyDescent="0.3">
      <c r="A85" s="11" t="s">
        <v>460</v>
      </c>
      <c r="B85" s="12" t="s">
        <v>18</v>
      </c>
      <c r="C85" s="12" t="s">
        <v>461</v>
      </c>
      <c r="D85" s="20" t="s">
        <v>462</v>
      </c>
      <c r="E85" s="14" t="s">
        <v>463</v>
      </c>
      <c r="F85" s="15">
        <v>2021</v>
      </c>
      <c r="G85" s="11" t="s">
        <v>52</v>
      </c>
      <c r="H85" s="11" t="s">
        <v>52</v>
      </c>
      <c r="I85" s="11" t="s">
        <v>16</v>
      </c>
      <c r="J85" s="11" t="s">
        <v>52</v>
      </c>
      <c r="K85" s="24"/>
    </row>
    <row r="86" spans="1:11" s="10" customFormat="1" ht="24.75" customHeight="1" x14ac:dyDescent="0.3">
      <c r="A86" s="11" t="s">
        <v>464</v>
      </c>
      <c r="B86" s="12" t="s">
        <v>67</v>
      </c>
      <c r="C86" s="12" t="s">
        <v>465</v>
      </c>
      <c r="D86" s="13" t="s">
        <v>466</v>
      </c>
      <c r="E86" s="14" t="s">
        <v>467</v>
      </c>
      <c r="F86" s="15">
        <v>2025</v>
      </c>
      <c r="G86" s="11" t="s">
        <v>52</v>
      </c>
      <c r="H86" s="11" t="s">
        <v>15</v>
      </c>
      <c r="I86" s="11" t="s">
        <v>53</v>
      </c>
      <c r="J86" s="11" t="s">
        <v>52</v>
      </c>
      <c r="K86" s="24"/>
    </row>
    <row r="87" spans="1:11" s="10" customFormat="1" ht="24.75" customHeight="1" x14ac:dyDescent="0.3">
      <c r="A87" s="11" t="s">
        <v>468</v>
      </c>
      <c r="B87" s="12" t="s">
        <v>67</v>
      </c>
      <c r="C87" s="12" t="s">
        <v>469</v>
      </c>
      <c r="D87" s="13" t="s">
        <v>470</v>
      </c>
      <c r="E87" s="14" t="s">
        <v>115</v>
      </c>
      <c r="F87" s="15">
        <v>2023</v>
      </c>
      <c r="G87" s="11" t="s">
        <v>15</v>
      </c>
      <c r="H87" s="11" t="s">
        <v>15</v>
      </c>
      <c r="I87" s="11" t="s">
        <v>16</v>
      </c>
      <c r="J87" s="11" t="s">
        <v>15</v>
      </c>
      <c r="K87" s="24"/>
    </row>
    <row r="88" spans="1:11" s="10" customFormat="1" ht="24.75" customHeight="1" x14ac:dyDescent="0.3">
      <c r="A88" s="11" t="s">
        <v>471</v>
      </c>
      <c r="B88" s="12" t="s">
        <v>67</v>
      </c>
      <c r="C88" s="12" t="s">
        <v>472</v>
      </c>
      <c r="D88" s="13" t="s">
        <v>473</v>
      </c>
      <c r="E88" s="14" t="s">
        <v>474</v>
      </c>
      <c r="F88" s="15">
        <v>2007</v>
      </c>
      <c r="G88" s="11" t="s">
        <v>15</v>
      </c>
      <c r="H88" s="11" t="s">
        <v>15</v>
      </c>
      <c r="I88" s="11" t="s">
        <v>16</v>
      </c>
      <c r="J88" s="11" t="s">
        <v>15</v>
      </c>
      <c r="K88" s="24"/>
    </row>
    <row r="89" spans="1:11" s="10" customFormat="1" ht="24.75" customHeight="1" x14ac:dyDescent="0.3">
      <c r="A89" s="11" t="s">
        <v>475</v>
      </c>
      <c r="B89" s="12" t="s">
        <v>67</v>
      </c>
      <c r="C89" s="12" t="s">
        <v>476</v>
      </c>
      <c r="D89" s="13" t="s">
        <v>477</v>
      </c>
      <c r="E89" s="14" t="s">
        <v>478</v>
      </c>
      <c r="F89" s="15">
        <v>2023</v>
      </c>
      <c r="G89" s="11" t="s">
        <v>15</v>
      </c>
      <c r="H89" s="11" t="s">
        <v>15</v>
      </c>
      <c r="I89" s="11" t="s">
        <v>16</v>
      </c>
      <c r="J89" s="11" t="s">
        <v>15</v>
      </c>
      <c r="K89" s="24"/>
    </row>
    <row r="90" spans="1:11" s="10" customFormat="1" ht="24.75" customHeight="1" x14ac:dyDescent="0.3">
      <c r="A90" s="11" t="s">
        <v>479</v>
      </c>
      <c r="B90" s="12" t="s">
        <v>23</v>
      </c>
      <c r="C90" s="12" t="s">
        <v>480</v>
      </c>
      <c r="D90" s="13" t="s">
        <v>481</v>
      </c>
      <c r="E90" s="14" t="s">
        <v>482</v>
      </c>
      <c r="F90" s="15">
        <v>2015</v>
      </c>
      <c r="G90" s="11" t="s">
        <v>15</v>
      </c>
      <c r="H90" s="11" t="s">
        <v>52</v>
      </c>
      <c r="I90" s="11" t="s">
        <v>53</v>
      </c>
      <c r="J90" s="11" t="s">
        <v>52</v>
      </c>
      <c r="K90" s="24"/>
    </row>
    <row r="91" spans="1:11" s="10" customFormat="1" ht="24.75" customHeight="1" x14ac:dyDescent="0.3">
      <c r="A91" s="11" t="s">
        <v>483</v>
      </c>
      <c r="B91" s="12" t="s">
        <v>23</v>
      </c>
      <c r="C91" s="12" t="s">
        <v>484</v>
      </c>
      <c r="D91" s="13" t="s">
        <v>485</v>
      </c>
      <c r="E91" s="14" t="s">
        <v>486</v>
      </c>
      <c r="F91" s="15">
        <v>2025</v>
      </c>
      <c r="G91" s="11" t="s">
        <v>15</v>
      </c>
      <c r="H91" s="11" t="s">
        <v>15</v>
      </c>
      <c r="I91" s="11" t="s">
        <v>16</v>
      </c>
      <c r="J91" s="11" t="s">
        <v>15</v>
      </c>
      <c r="K91" s="24"/>
    </row>
    <row r="92" spans="1:11" s="10" customFormat="1" ht="24.75" customHeight="1" x14ac:dyDescent="0.3">
      <c r="A92" s="11" t="s">
        <v>487</v>
      </c>
      <c r="B92" s="12" t="s">
        <v>23</v>
      </c>
      <c r="C92" s="12" t="s">
        <v>488</v>
      </c>
      <c r="D92" s="13" t="s">
        <v>489</v>
      </c>
      <c r="E92" s="14" t="s">
        <v>490</v>
      </c>
      <c r="F92" s="15">
        <v>2022</v>
      </c>
      <c r="G92" s="11" t="s">
        <v>15</v>
      </c>
      <c r="H92" s="11" t="s">
        <v>15</v>
      </c>
      <c r="I92" s="11" t="s">
        <v>16</v>
      </c>
      <c r="J92" s="11" t="s">
        <v>15</v>
      </c>
      <c r="K92" s="24"/>
    </row>
    <row r="93" spans="1:11" s="10" customFormat="1" ht="24.75" customHeight="1" x14ac:dyDescent="0.3">
      <c r="A93" s="11" t="s">
        <v>491</v>
      </c>
      <c r="B93" s="12" t="s">
        <v>23</v>
      </c>
      <c r="C93" s="12" t="s">
        <v>492</v>
      </c>
      <c r="D93" s="13" t="s">
        <v>493</v>
      </c>
      <c r="E93" s="14" t="s">
        <v>494</v>
      </c>
      <c r="F93" s="15">
        <v>2015</v>
      </c>
      <c r="G93" s="11" t="s">
        <v>52</v>
      </c>
      <c r="H93" s="11" t="s">
        <v>52</v>
      </c>
      <c r="I93" s="11" t="s">
        <v>16</v>
      </c>
      <c r="J93" s="11" t="s">
        <v>52</v>
      </c>
      <c r="K93" s="24"/>
    </row>
    <row r="94" spans="1:11" s="10" customFormat="1" ht="24.75" customHeight="1" x14ac:dyDescent="0.3">
      <c r="A94" s="11" t="s">
        <v>495</v>
      </c>
      <c r="B94" s="12" t="s">
        <v>23</v>
      </c>
      <c r="C94" s="12" t="s">
        <v>496</v>
      </c>
      <c r="D94" s="13" t="s">
        <v>497</v>
      </c>
      <c r="E94" s="14" t="s">
        <v>498</v>
      </c>
      <c r="F94" s="15">
        <v>2009</v>
      </c>
      <c r="G94" s="11" t="s">
        <v>15</v>
      </c>
      <c r="H94" s="11" t="s">
        <v>15</v>
      </c>
      <c r="I94" s="11" t="s">
        <v>16</v>
      </c>
      <c r="J94" s="11" t="s">
        <v>15</v>
      </c>
      <c r="K94" s="24"/>
    </row>
    <row r="95" spans="1:11" s="10" customFormat="1" ht="24.75" customHeight="1" x14ac:dyDescent="0.3">
      <c r="A95" s="11" t="s">
        <v>511</v>
      </c>
      <c r="B95" s="12" t="s">
        <v>23</v>
      </c>
      <c r="C95" s="12" t="s">
        <v>512</v>
      </c>
      <c r="D95" s="13" t="s">
        <v>513</v>
      </c>
      <c r="E95" s="14" t="s">
        <v>514</v>
      </c>
      <c r="F95" s="15">
        <v>2016</v>
      </c>
      <c r="G95" s="11" t="s">
        <v>15</v>
      </c>
      <c r="H95" s="11" t="s">
        <v>15</v>
      </c>
      <c r="I95" s="11" t="s">
        <v>16</v>
      </c>
      <c r="J95" s="11" t="s">
        <v>15</v>
      </c>
      <c r="K95" s="24"/>
    </row>
    <row r="96" spans="1:11" s="10" customFormat="1" ht="24.75" customHeight="1" x14ac:dyDescent="0.3">
      <c r="A96" s="11" t="s">
        <v>519</v>
      </c>
      <c r="B96" s="12" t="s">
        <v>23</v>
      </c>
      <c r="C96" s="12" t="s">
        <v>520</v>
      </c>
      <c r="D96" s="13" t="s">
        <v>521</v>
      </c>
      <c r="E96" s="14" t="s">
        <v>522</v>
      </c>
      <c r="F96" s="15">
        <v>2025</v>
      </c>
      <c r="G96" s="11" t="s">
        <v>52</v>
      </c>
      <c r="H96" s="11" t="s">
        <v>52</v>
      </c>
      <c r="I96" s="11" t="s">
        <v>16</v>
      </c>
      <c r="J96" s="11" t="s">
        <v>52</v>
      </c>
      <c r="K96" s="24"/>
    </row>
    <row r="97" spans="1:11" s="10" customFormat="1" ht="24.75" customHeight="1" x14ac:dyDescent="0.3">
      <c r="A97" s="11" t="s">
        <v>534</v>
      </c>
      <c r="B97" s="12" t="s">
        <v>44</v>
      </c>
      <c r="C97" s="12" t="s">
        <v>535</v>
      </c>
      <c r="D97" s="13" t="s">
        <v>536</v>
      </c>
      <c r="E97" s="14" t="s">
        <v>537</v>
      </c>
      <c r="F97" s="15">
        <v>2015</v>
      </c>
      <c r="G97" s="11" t="s">
        <v>15</v>
      </c>
      <c r="H97" s="11" t="s">
        <v>15</v>
      </c>
      <c r="I97" s="11" t="s">
        <v>16</v>
      </c>
      <c r="J97" s="11" t="s">
        <v>15</v>
      </c>
      <c r="K97" s="24"/>
    </row>
    <row r="98" spans="1:11" s="10" customFormat="1" ht="24.75" customHeight="1" x14ac:dyDescent="0.3">
      <c r="A98" s="11" t="s">
        <v>542</v>
      </c>
      <c r="B98" s="12" t="s">
        <v>23</v>
      </c>
      <c r="C98" s="12" t="s">
        <v>543</v>
      </c>
      <c r="D98" s="13" t="s">
        <v>544</v>
      </c>
      <c r="E98" s="14" t="s">
        <v>545</v>
      </c>
      <c r="F98" s="15">
        <v>2025</v>
      </c>
      <c r="G98" s="11" t="s">
        <v>15</v>
      </c>
      <c r="H98" s="11" t="s">
        <v>15</v>
      </c>
      <c r="I98" s="11" t="s">
        <v>16</v>
      </c>
      <c r="J98" s="11" t="s">
        <v>15</v>
      </c>
      <c r="K98" s="24"/>
    </row>
    <row r="99" spans="1:11" s="10" customFormat="1" ht="24.75" customHeight="1" x14ac:dyDescent="0.3">
      <c r="A99" s="11" t="s">
        <v>550</v>
      </c>
      <c r="B99" s="12" t="s">
        <v>18</v>
      </c>
      <c r="C99" s="12" t="s">
        <v>551</v>
      </c>
      <c r="D99" s="13" t="s">
        <v>552</v>
      </c>
      <c r="E99" s="14" t="s">
        <v>553</v>
      </c>
      <c r="F99" s="15">
        <v>2024</v>
      </c>
      <c r="G99" s="11" t="s">
        <v>15</v>
      </c>
      <c r="H99" s="11" t="s">
        <v>15</v>
      </c>
      <c r="I99" s="11" t="s">
        <v>16</v>
      </c>
      <c r="J99" s="11" t="s">
        <v>15</v>
      </c>
      <c r="K99" s="24"/>
    </row>
    <row r="100" spans="1:11" s="10" customFormat="1" ht="24.75" customHeight="1" x14ac:dyDescent="0.3">
      <c r="A100" s="11" t="s">
        <v>574</v>
      </c>
      <c r="B100" s="12" t="s">
        <v>23</v>
      </c>
      <c r="C100" s="12" t="s">
        <v>575</v>
      </c>
      <c r="D100" s="13" t="s">
        <v>576</v>
      </c>
      <c r="E100" s="14" t="s">
        <v>577</v>
      </c>
      <c r="F100" s="15">
        <v>2025</v>
      </c>
      <c r="G100" s="11" t="s">
        <v>15</v>
      </c>
      <c r="H100" s="11" t="s">
        <v>15</v>
      </c>
      <c r="I100" s="11" t="s">
        <v>16</v>
      </c>
      <c r="J100" s="11" t="s">
        <v>15</v>
      </c>
      <c r="K100" s="24"/>
    </row>
    <row r="101" spans="1:11" s="10" customFormat="1" ht="24.75" customHeight="1" x14ac:dyDescent="0.3">
      <c r="A101" s="11" t="s">
        <v>582</v>
      </c>
      <c r="B101" s="12" t="s">
        <v>23</v>
      </c>
      <c r="C101" s="12" t="s">
        <v>583</v>
      </c>
      <c r="D101" s="13" t="s">
        <v>584</v>
      </c>
      <c r="E101" s="14" t="s">
        <v>585</v>
      </c>
      <c r="F101" s="15">
        <v>2024</v>
      </c>
      <c r="G101" s="11" t="s">
        <v>15</v>
      </c>
      <c r="H101" s="11" t="s">
        <v>15</v>
      </c>
      <c r="I101" s="11" t="s">
        <v>16</v>
      </c>
      <c r="J101" s="11" t="s">
        <v>15</v>
      </c>
      <c r="K101" s="24"/>
    </row>
    <row r="102" spans="1:11" s="10" customFormat="1" ht="24.75" customHeight="1" x14ac:dyDescent="0.3">
      <c r="A102" s="11" t="s">
        <v>586</v>
      </c>
      <c r="B102" s="12" t="s">
        <v>88</v>
      </c>
      <c r="C102" s="12" t="s">
        <v>587</v>
      </c>
      <c r="D102" s="21" t="s">
        <v>588</v>
      </c>
      <c r="E102" s="22" t="s">
        <v>589</v>
      </c>
      <c r="F102" s="15">
        <v>2023</v>
      </c>
      <c r="G102" s="11" t="s">
        <v>15</v>
      </c>
      <c r="H102" s="11" t="s">
        <v>15</v>
      </c>
      <c r="I102" s="11" t="s">
        <v>16</v>
      </c>
      <c r="J102" s="11" t="s">
        <v>15</v>
      </c>
      <c r="K102" s="24"/>
    </row>
    <row r="103" spans="1:11" s="10" customFormat="1" ht="24.75" customHeight="1" x14ac:dyDescent="0.3">
      <c r="A103" s="11" t="s">
        <v>590</v>
      </c>
      <c r="B103" s="12" t="s">
        <v>23</v>
      </c>
      <c r="C103" s="12" t="s">
        <v>591</v>
      </c>
      <c r="D103" s="13" t="s">
        <v>592</v>
      </c>
      <c r="E103" s="14" t="s">
        <v>593</v>
      </c>
      <c r="F103" s="15">
        <v>2011</v>
      </c>
      <c r="G103" s="11" t="s">
        <v>15</v>
      </c>
      <c r="H103" s="11" t="s">
        <v>15</v>
      </c>
      <c r="I103" s="11" t="s">
        <v>16</v>
      </c>
      <c r="J103" s="11" t="s">
        <v>15</v>
      </c>
      <c r="K103" s="24"/>
    </row>
    <row r="104" spans="1:11" s="10" customFormat="1" ht="24.75" customHeight="1" x14ac:dyDescent="0.3">
      <c r="A104" s="11" t="s">
        <v>594</v>
      </c>
      <c r="B104" s="12" t="s">
        <v>23</v>
      </c>
      <c r="C104" s="12" t="s">
        <v>595</v>
      </c>
      <c r="D104" s="13" t="s">
        <v>596</v>
      </c>
      <c r="E104" s="14" t="s">
        <v>597</v>
      </c>
      <c r="F104" s="15">
        <v>2020</v>
      </c>
      <c r="G104" s="11" t="s">
        <v>15</v>
      </c>
      <c r="H104" s="11" t="s">
        <v>15</v>
      </c>
      <c r="I104" s="11" t="s">
        <v>16</v>
      </c>
      <c r="J104" s="11" t="s">
        <v>15</v>
      </c>
      <c r="K104" s="24"/>
    </row>
    <row r="105" spans="1:11" s="10" customFormat="1" ht="24.75" customHeight="1" x14ac:dyDescent="0.3">
      <c r="A105" s="11" t="s">
        <v>598</v>
      </c>
      <c r="B105" s="12" t="s">
        <v>23</v>
      </c>
      <c r="C105" s="12" t="s">
        <v>599</v>
      </c>
      <c r="D105" s="13" t="s">
        <v>600</v>
      </c>
      <c r="E105" s="14" t="s">
        <v>601</v>
      </c>
      <c r="F105" s="15">
        <v>2022</v>
      </c>
      <c r="G105" s="11" t="s">
        <v>15</v>
      </c>
      <c r="H105" s="11" t="s">
        <v>15</v>
      </c>
      <c r="I105" s="11" t="s">
        <v>16</v>
      </c>
      <c r="J105" s="11" t="s">
        <v>15</v>
      </c>
      <c r="K105" s="24"/>
    </row>
    <row r="106" spans="1:11" s="10" customFormat="1" ht="24.75" customHeight="1" x14ac:dyDescent="0.3">
      <c r="A106" s="11" t="s">
        <v>606</v>
      </c>
      <c r="B106" s="12" t="s">
        <v>18</v>
      </c>
      <c r="C106" s="12" t="s">
        <v>607</v>
      </c>
      <c r="D106" s="13" t="s">
        <v>608</v>
      </c>
      <c r="E106" s="14" t="s">
        <v>609</v>
      </c>
      <c r="F106" s="15">
        <v>2018</v>
      </c>
      <c r="G106" s="11" t="s">
        <v>15</v>
      </c>
      <c r="H106" s="11" t="s">
        <v>15</v>
      </c>
      <c r="I106" s="11" t="s">
        <v>16</v>
      </c>
      <c r="J106" s="11" t="s">
        <v>15</v>
      </c>
      <c r="K106" s="24"/>
    </row>
    <row r="107" spans="1:11" s="10" customFormat="1" ht="24.75" customHeight="1" x14ac:dyDescent="0.3">
      <c r="A107" s="11" t="s">
        <v>610</v>
      </c>
      <c r="B107" s="12" t="s">
        <v>23</v>
      </c>
      <c r="C107" s="12" t="s">
        <v>611</v>
      </c>
      <c r="D107" s="13" t="s">
        <v>612</v>
      </c>
      <c r="E107" s="14" t="s">
        <v>613</v>
      </c>
      <c r="F107" s="15">
        <v>2023</v>
      </c>
      <c r="G107" s="11" t="s">
        <v>15</v>
      </c>
      <c r="H107" s="11" t="s">
        <v>15</v>
      </c>
      <c r="I107" s="11" t="s">
        <v>16</v>
      </c>
      <c r="J107" s="11" t="s">
        <v>15</v>
      </c>
      <c r="K107" s="24"/>
    </row>
    <row r="108" spans="1:11" s="10" customFormat="1" ht="24.75" customHeight="1" x14ac:dyDescent="0.3">
      <c r="A108" s="11" t="s">
        <v>618</v>
      </c>
      <c r="B108" s="12" t="s">
        <v>44</v>
      </c>
      <c r="C108" s="12" t="s">
        <v>619</v>
      </c>
      <c r="D108" s="13" t="s">
        <v>620</v>
      </c>
      <c r="E108" s="14" t="s">
        <v>621</v>
      </c>
      <c r="F108" s="15">
        <v>2024</v>
      </c>
      <c r="G108" s="11" t="s">
        <v>15</v>
      </c>
      <c r="H108" s="11" t="s">
        <v>15</v>
      </c>
      <c r="I108" s="11" t="s">
        <v>16</v>
      </c>
      <c r="J108" s="11" t="s">
        <v>15</v>
      </c>
      <c r="K108" s="24"/>
    </row>
    <row r="109" spans="1:11" s="10" customFormat="1" ht="24.75" customHeight="1" x14ac:dyDescent="0.3">
      <c r="A109" s="11" t="s">
        <v>644</v>
      </c>
      <c r="B109" s="12" t="s">
        <v>18</v>
      </c>
      <c r="C109" s="12" t="s">
        <v>645</v>
      </c>
      <c r="D109" s="13" t="s">
        <v>646</v>
      </c>
      <c r="E109" s="14" t="s">
        <v>647</v>
      </c>
      <c r="F109" s="15">
        <v>2021</v>
      </c>
      <c r="G109" s="11" t="s">
        <v>15</v>
      </c>
      <c r="H109" s="11" t="s">
        <v>15</v>
      </c>
      <c r="I109" s="11" t="s">
        <v>16</v>
      </c>
      <c r="J109" s="11" t="s">
        <v>15</v>
      </c>
      <c r="K109" s="24"/>
    </row>
    <row r="110" spans="1:11" s="10" customFormat="1" ht="24.75" customHeight="1" x14ac:dyDescent="0.3">
      <c r="A110" s="11" t="s">
        <v>648</v>
      </c>
      <c r="B110" s="12" t="s">
        <v>23</v>
      </c>
      <c r="C110" s="12" t="s">
        <v>649</v>
      </c>
      <c r="D110" s="13" t="s">
        <v>650</v>
      </c>
      <c r="E110" s="14" t="s">
        <v>651</v>
      </c>
      <c r="F110" s="15">
        <v>2023</v>
      </c>
      <c r="G110" s="11" t="s">
        <v>15</v>
      </c>
      <c r="H110" s="11" t="s">
        <v>15</v>
      </c>
      <c r="I110" s="11" t="s">
        <v>16</v>
      </c>
      <c r="J110" s="11" t="s">
        <v>15</v>
      </c>
      <c r="K110" s="24"/>
    </row>
    <row r="111" spans="1:11" s="10" customFormat="1" ht="24.75" customHeight="1" x14ac:dyDescent="0.3">
      <c r="A111" s="11" t="s">
        <v>662</v>
      </c>
      <c r="B111" s="12" t="s">
        <v>88</v>
      </c>
      <c r="C111" s="12" t="s">
        <v>663</v>
      </c>
      <c r="D111" s="13" t="s">
        <v>664</v>
      </c>
      <c r="E111" s="14" t="s">
        <v>665</v>
      </c>
      <c r="F111" s="15">
        <v>2025</v>
      </c>
      <c r="G111" s="11" t="s">
        <v>15</v>
      </c>
      <c r="H111" s="11" t="s">
        <v>15</v>
      </c>
      <c r="I111" s="11" t="s">
        <v>16</v>
      </c>
      <c r="J111" s="11" t="s">
        <v>15</v>
      </c>
      <c r="K111" s="24"/>
    </row>
    <row r="112" spans="1:11" s="10" customFormat="1" ht="24.75" customHeight="1" x14ac:dyDescent="0.3">
      <c r="A112" s="11" t="s">
        <v>666</v>
      </c>
      <c r="B112" s="12" t="s">
        <v>88</v>
      </c>
      <c r="C112" s="12" t="s">
        <v>667</v>
      </c>
      <c r="D112" s="13" t="s">
        <v>668</v>
      </c>
      <c r="E112" s="14" t="s">
        <v>669</v>
      </c>
      <c r="F112" s="15">
        <v>2024</v>
      </c>
      <c r="G112" s="11" t="s">
        <v>15</v>
      </c>
      <c r="H112" s="11" t="s">
        <v>15</v>
      </c>
      <c r="I112" s="11" t="s">
        <v>16</v>
      </c>
      <c r="J112" s="11" t="s">
        <v>15</v>
      </c>
      <c r="K112" s="24"/>
    </row>
    <row r="113" spans="1:11" s="10" customFormat="1" ht="24.75" customHeight="1" x14ac:dyDescent="0.3">
      <c r="A113" s="11" t="s">
        <v>674</v>
      </c>
      <c r="B113" s="12" t="s">
        <v>23</v>
      </c>
      <c r="C113" s="12" t="s">
        <v>675</v>
      </c>
      <c r="D113" s="13" t="s">
        <v>676</v>
      </c>
      <c r="E113" s="14" t="s">
        <v>677</v>
      </c>
      <c r="F113" s="15">
        <v>2025</v>
      </c>
      <c r="G113" s="11" t="s">
        <v>15</v>
      </c>
      <c r="H113" s="11" t="s">
        <v>15</v>
      </c>
      <c r="I113" s="11" t="s">
        <v>16</v>
      </c>
      <c r="J113" s="11" t="s">
        <v>15</v>
      </c>
      <c r="K113" s="24"/>
    </row>
    <row r="114" spans="1:11" s="10" customFormat="1" ht="24.75" customHeight="1" x14ac:dyDescent="0.3">
      <c r="A114" s="11" t="s">
        <v>686</v>
      </c>
      <c r="B114" s="12" t="s">
        <v>67</v>
      </c>
      <c r="C114" s="12" t="s">
        <v>687</v>
      </c>
      <c r="D114" s="13" t="s">
        <v>688</v>
      </c>
      <c r="E114" s="14" t="s">
        <v>689</v>
      </c>
      <c r="F114" s="15">
        <v>2010</v>
      </c>
      <c r="G114" s="11" t="s">
        <v>15</v>
      </c>
      <c r="H114" s="11" t="s">
        <v>15</v>
      </c>
      <c r="I114" s="11" t="s">
        <v>16</v>
      </c>
      <c r="J114" s="11" t="s">
        <v>15</v>
      </c>
      <c r="K114" s="2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tabSelected="1" zoomScaleNormal="100" workbookViewId="0">
      <selection activeCell="D7" sqref="D7"/>
    </sheetView>
  </sheetViews>
  <sheetFormatPr defaultColWidth="8.6640625" defaultRowHeight="14.4" x14ac:dyDescent="0.3"/>
  <cols>
    <col min="1" max="1" width="38" customWidth="1"/>
    <col min="2" max="4" width="14" customWidth="1"/>
  </cols>
  <sheetData>
    <row r="1" spans="1:4" ht="15.6" x14ac:dyDescent="0.3">
      <c r="A1" s="25" t="s">
        <v>694</v>
      </c>
    </row>
    <row r="2" spans="1:4" x14ac:dyDescent="0.3">
      <c r="A2" s="26" t="s">
        <v>695</v>
      </c>
    </row>
    <row r="4" spans="1:4" x14ac:dyDescent="0.3">
      <c r="A4" s="27" t="s">
        <v>696</v>
      </c>
    </row>
    <row r="5" spans="1:4" x14ac:dyDescent="0.3">
      <c r="A5" s="28"/>
      <c r="B5" s="28" t="s">
        <v>697</v>
      </c>
      <c r="C5" s="28" t="s">
        <v>698</v>
      </c>
      <c r="D5" s="28" t="s">
        <v>699</v>
      </c>
    </row>
    <row r="6" spans="1:4" x14ac:dyDescent="0.3">
      <c r="A6" s="29" t="s">
        <v>700</v>
      </c>
      <c r="B6" s="30">
        <f>COUNTIFS(Title_Abstract_Screening!$G$2:$G$172,"Include",Title_Abstract_Screening!$H$2:$H$172,"Include")</f>
        <v>103</v>
      </c>
      <c r="C6" s="30">
        <f>COUNTIFS(Title_Abstract_Screening!$G$2:$G$172,"Include",Title_Abstract_Screening!$H$2:$H$172,"Exclude")</f>
        <v>11</v>
      </c>
      <c r="D6" s="31">
        <f>SUM(B6:C6)</f>
        <v>114</v>
      </c>
    </row>
    <row r="7" spans="1:4" x14ac:dyDescent="0.3">
      <c r="A7" s="29" t="s">
        <v>701</v>
      </c>
      <c r="B7" s="30">
        <f>COUNTIFS(Title_Abstract_Screening!$G$2:$G$172,"Exclude",Title_Abstract_Screening!$H$2:$H$172,"Include")</f>
        <v>9</v>
      </c>
      <c r="C7" s="30">
        <f>COUNTIFS(Title_Abstract_Screening!$G$2:$G$172,"Exclude",Title_Abstract_Screening!$H$2:$H$172,"Exclude")</f>
        <v>48</v>
      </c>
      <c r="D7" s="31">
        <f>SUM(B7:C7)</f>
        <v>57</v>
      </c>
    </row>
    <row r="8" spans="1:4" x14ac:dyDescent="0.3">
      <c r="A8" s="29" t="s">
        <v>699</v>
      </c>
      <c r="B8" s="31">
        <f>SUM(B6:B7)</f>
        <v>112</v>
      </c>
      <c r="C8" s="31">
        <f>SUM(C6:C7)</f>
        <v>59</v>
      </c>
      <c r="D8" s="31">
        <f>SUM(D6:D7)</f>
        <v>171</v>
      </c>
    </row>
    <row r="10" spans="1:4" x14ac:dyDescent="0.3">
      <c r="A10" s="32" t="s">
        <v>702</v>
      </c>
      <c r="B10" s="33">
        <f>D8</f>
        <v>171</v>
      </c>
    </row>
    <row r="11" spans="1:4" x14ac:dyDescent="0.3">
      <c r="A11" s="32" t="s">
        <v>703</v>
      </c>
      <c r="B11" s="34">
        <f>(B6+C7)/D8</f>
        <v>0.88304093567251463</v>
      </c>
    </row>
    <row r="12" spans="1:4" x14ac:dyDescent="0.3">
      <c r="A12" s="32" t="s">
        <v>704</v>
      </c>
      <c r="B12" s="34">
        <f>(D6*B8+D7*C8)/D8^2</f>
        <v>0.55165692007797273</v>
      </c>
    </row>
    <row r="13" spans="1:4" x14ac:dyDescent="0.3">
      <c r="A13" s="35" t="s">
        <v>705</v>
      </c>
      <c r="B13" s="36">
        <f>(B11-B12)/(1-B12)</f>
        <v>0.73913043478260865</v>
      </c>
    </row>
    <row r="16" spans="1:4" x14ac:dyDescent="0.3">
      <c r="A16" s="27" t="s">
        <v>706</v>
      </c>
    </row>
    <row r="17" spans="1:4" x14ac:dyDescent="0.3">
      <c r="A17" s="28"/>
      <c r="B17" s="28" t="s">
        <v>697</v>
      </c>
      <c r="C17" s="28" t="s">
        <v>698</v>
      </c>
      <c r="D17" s="28" t="s">
        <v>699</v>
      </c>
    </row>
    <row r="18" spans="1:4" x14ac:dyDescent="0.3">
      <c r="A18" s="29" t="s">
        <v>700</v>
      </c>
      <c r="B18" s="30">
        <f>COUNTIFS(Full_Text_Screening!$G$2:$G$114,"Include",Full_Text_Screening!$H$2:$H$114,"Include")</f>
        <v>88</v>
      </c>
      <c r="C18" s="30">
        <f>COUNTIFS(Full_Text_Screening!$G$2:$G$114,"Include",Full_Text_Screening!$H$2:$H$114,"Exclude")</f>
        <v>2</v>
      </c>
      <c r="D18" s="31">
        <f>SUM(B18:C18)</f>
        <v>90</v>
      </c>
    </row>
    <row r="19" spans="1:4" x14ac:dyDescent="0.3">
      <c r="A19" s="29" t="s">
        <v>701</v>
      </c>
      <c r="B19" s="30">
        <f>COUNTIFS(Full_Text_Screening!$G$2:$G$114,"Exclude",Full_Text_Screening!$H$2:$H$114,"Include")</f>
        <v>7</v>
      </c>
      <c r="C19" s="30">
        <f>COUNTIFS(Full_Text_Screening!$G$2:$G$114,"Exclude",Full_Text_Screening!$H$2:$H$114,"Exclude")</f>
        <v>16</v>
      </c>
      <c r="D19" s="31">
        <f>SUM(B19:C19)</f>
        <v>23</v>
      </c>
    </row>
    <row r="20" spans="1:4" x14ac:dyDescent="0.3">
      <c r="A20" s="29" t="s">
        <v>699</v>
      </c>
      <c r="B20" s="31">
        <f>SUM(B18:B19)</f>
        <v>95</v>
      </c>
      <c r="C20" s="31">
        <f>SUM(C18:C19)</f>
        <v>18</v>
      </c>
      <c r="D20" s="31">
        <f>SUM(D18:D19)</f>
        <v>113</v>
      </c>
    </row>
    <row r="22" spans="1:4" x14ac:dyDescent="0.3">
      <c r="A22" s="32" t="s">
        <v>702</v>
      </c>
      <c r="B22" s="33">
        <f>D20</f>
        <v>113</v>
      </c>
    </row>
    <row r="23" spans="1:4" x14ac:dyDescent="0.3">
      <c r="A23" s="32" t="s">
        <v>703</v>
      </c>
      <c r="B23" s="34">
        <f>(B18+C19)/D20</f>
        <v>0.92035398230088494</v>
      </c>
    </row>
    <row r="24" spans="1:4" x14ac:dyDescent="0.3">
      <c r="A24" s="32" t="s">
        <v>704</v>
      </c>
      <c r="B24" s="34">
        <f>(D18*B20+D19*C20)/D20^2</f>
        <v>0.70201268697627062</v>
      </c>
    </row>
    <row r="25" spans="1:4" x14ac:dyDescent="0.3">
      <c r="A25" s="35" t="s">
        <v>705</v>
      </c>
      <c r="B25" s="36">
        <f>(B23-B24)/(1-B24)</f>
        <v>0.73272010512483576</v>
      </c>
    </row>
    <row r="30" spans="1:4" x14ac:dyDescent="0.3">
      <c r="A30" s="26" t="s">
        <v>707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Title_Abstract_Screening</vt:lpstr>
      <vt:lpstr>Full_Text_Screening</vt:lpstr>
      <vt:lpstr>Cohen_Kappa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Dadhi Ghimire</dc:creator>
  <dc:description/>
  <cp:lastModifiedBy>DELL</cp:lastModifiedBy>
  <cp:revision>0</cp:revision>
  <cp:lastPrinted>2025-06-15T03:11:53Z</cp:lastPrinted>
  <dcterms:created xsi:type="dcterms:W3CDTF">2023-05-16T00:43:44Z</dcterms:created>
  <dcterms:modified xsi:type="dcterms:W3CDTF">2026-10-04T16:07:40Z</dcterms:modified>
  <dc:language>en-US</dc:language>
</cp:coreProperties>
</file>